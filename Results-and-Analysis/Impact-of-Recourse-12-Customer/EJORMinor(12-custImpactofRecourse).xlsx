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uments\recourse model\MEETING 2026\Feb18th2026\"/>
    </mc:Choice>
  </mc:AlternateContent>
  <xr:revisionPtr revIDLastSave="0" documentId="14_{9F1C271B-DEEB-460E-8368-70386D2C5A8D}" xr6:coauthVersionLast="47" xr6:coauthVersionMax="47" xr10:uidLastSave="{00000000-0000-0000-0000-000000000000}"/>
  <bookViews>
    <workbookView xWindow="-98" yWindow="-98" windowWidth="21795" windowHeight="12975" tabRatio="932" activeTab="1" xr2:uid="{00000000-000D-0000-FFFF-FFFF00000000}"/>
  </bookViews>
  <sheets>
    <sheet name="12-custexactplots" sheetId="186" r:id="rId1"/>
    <sheet name="Agatz12custplots" sheetId="189" r:id="rId2"/>
    <sheet name="ImpactofRecourseAnalysisfv" sheetId="191" r:id="rId3"/>
  </sheets>
  <definedNames>
    <definedName name="_xlchart.v1.0" hidden="1">'12-custexactplots'!$AE$1</definedName>
    <definedName name="_xlchart.v1.1" hidden="1">'12-custexactplots'!$AE$2:$AE$41</definedName>
    <definedName name="_xlchart.v1.10" hidden="1">Agatz12custplots!$AB$1</definedName>
    <definedName name="_xlchart.v1.11" hidden="1">Agatz12custplots!$AB$2:$AB$201</definedName>
    <definedName name="_xlchart.v1.12" hidden="1">Agatz12custplots!$AC$1</definedName>
    <definedName name="_xlchart.v1.13" hidden="1">Agatz12custplots!$AC$2:$AC$201</definedName>
    <definedName name="_xlchart.v1.14" hidden="1">Agatz12custplots!$Z$1</definedName>
    <definedName name="_xlchart.v1.15" hidden="1">Agatz12custplots!$Z$2:$Z$201</definedName>
    <definedName name="_xlchart.v1.2" hidden="1">'12-custexactplots'!$AF$1</definedName>
    <definedName name="_xlchart.v1.3" hidden="1">'12-custexactplots'!$AF$2:$AF$41</definedName>
    <definedName name="_xlchart.v1.4" hidden="1">'12-custexactplots'!$AG$1</definedName>
    <definedName name="_xlchart.v1.5" hidden="1">'12-custexactplots'!$AG$2:$AG$41</definedName>
    <definedName name="_xlchart.v1.6" hidden="1">'12-custexactplots'!$AH$1</definedName>
    <definedName name="_xlchart.v1.7" hidden="1">'12-custexactplots'!$AH$2:$AH$41</definedName>
    <definedName name="_xlchart.v1.8" hidden="1">Agatz12custplots!$AA$1</definedName>
    <definedName name="_xlchart.v1.9" hidden="1">Agatz12custplots!$AA$2:$AA$201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8" i="191" l="1"/>
  <c r="D115" i="191"/>
  <c r="D111" i="191"/>
  <c r="C110" i="191"/>
  <c r="X33" i="191"/>
  <c r="X29" i="191"/>
  <c r="D108" i="191"/>
  <c r="C107" i="191"/>
  <c r="W26" i="191"/>
  <c r="C108" i="191"/>
  <c r="C114" i="191"/>
  <c r="W37" i="191"/>
  <c r="W28" i="191"/>
  <c r="W36" i="191" s="1"/>
  <c r="W38" i="191" s="1"/>
  <c r="C111" i="191"/>
  <c r="P105" i="191"/>
  <c r="O105" i="191"/>
  <c r="L105" i="191"/>
  <c r="K105" i="191"/>
  <c r="H105" i="191"/>
  <c r="G105" i="191"/>
  <c r="D105" i="191"/>
  <c r="C105" i="191"/>
  <c r="AM28" i="191"/>
  <c r="AP26" i="191"/>
  <c r="AO26" i="191"/>
  <c r="AJ26" i="191"/>
  <c r="AI26" i="191"/>
  <c r="AD26" i="191"/>
  <c r="AC26" i="191"/>
  <c r="X26" i="191"/>
  <c r="W32" i="191" s="1"/>
  <c r="W33" i="191" s="1"/>
  <c r="AX25" i="191"/>
  <c r="C113" i="191" l="1"/>
  <c r="C115" i="191" s="1"/>
  <c r="W29" i="191"/>
</calcChain>
</file>

<file path=xl/sharedStrings.xml><?xml version="1.0" encoding="utf-8"?>
<sst xmlns="http://schemas.openxmlformats.org/spreadsheetml/2006/main" count="769" uniqueCount="137">
  <si>
    <t>DISRUPTION DURATION = 60</t>
  </si>
  <si>
    <t>12-cust (v51)</t>
  </si>
  <si>
    <t>12-cust (v52)</t>
  </si>
  <si>
    <t>12-cust (v53)</t>
  </si>
  <si>
    <t>12-cust (v54)</t>
  </si>
  <si>
    <t>12-cust (v55)</t>
  </si>
  <si>
    <t>12-cust (v56)</t>
  </si>
  <si>
    <t>12-cust (v57)</t>
  </si>
  <si>
    <t>12-cust (v58)</t>
  </si>
  <si>
    <t>12-cust (v59)</t>
  </si>
  <si>
    <t>12-cust (v60)</t>
  </si>
  <si>
    <t>DISRUPTION START TIME = 15</t>
  </si>
  <si>
    <t>DISRUPTION START TIME = 30</t>
  </si>
  <si>
    <t>DISRUPTION DURATION = 30</t>
  </si>
  <si>
    <t>12-cust (v70)</t>
  </si>
  <si>
    <t>12-cust (v71)</t>
  </si>
  <si>
    <t>12-cust (v72)</t>
  </si>
  <si>
    <t>12-cust (v73)</t>
  </si>
  <si>
    <t>12-cust (v74)</t>
  </si>
  <si>
    <t>12-cust (v75)</t>
  </si>
  <si>
    <t>12-cust (v76)</t>
  </si>
  <si>
    <t>12-cust (v77)</t>
  </si>
  <si>
    <t>12-cust (v78)</t>
  </si>
  <si>
    <t>12-cust (v79)</t>
  </si>
  <si>
    <t>EXACT</t>
  </si>
  <si>
    <t xml:space="preserve"> WITHOUT PERFECT INFO (EXACT)</t>
  </si>
  <si>
    <t xml:space="preserve">OBJ. FUNC. </t>
  </si>
  <si>
    <t>OBJ. FUNC. (TRUCK ONLY)</t>
  </si>
  <si>
    <t xml:space="preserve"># OF DRONE CUST. </t>
  </si>
  <si>
    <t>DRONE RESCUE TIME (min)</t>
  </si>
  <si>
    <t xml:space="preserve"> TRUCK WAITING TIME (min)</t>
  </si>
  <si>
    <t xml:space="preserve">COMP. TIME </t>
  </si>
  <si>
    <t xml:space="preserve">DRONE RESCUE TIME </t>
  </si>
  <si>
    <t xml:space="preserve"> TRUCK WAITING TIME (TOTAL)</t>
  </si>
  <si>
    <t>20.2s</t>
  </si>
  <si>
    <t>2.5m</t>
  </si>
  <si>
    <t>7.1m</t>
  </si>
  <si>
    <t>3.7m</t>
  </si>
  <si>
    <t>3.5s</t>
  </si>
  <si>
    <t>2.6s</t>
  </si>
  <si>
    <t>2.4s</t>
  </si>
  <si>
    <t>11.8m</t>
  </si>
  <si>
    <t>3.6s</t>
  </si>
  <si>
    <t>5.5m</t>
  </si>
  <si>
    <t>3.5m</t>
  </si>
  <si>
    <t>4.5s</t>
  </si>
  <si>
    <t>0.1m</t>
  </si>
  <si>
    <t>0.7m</t>
  </si>
  <si>
    <t>6.8s</t>
  </si>
  <si>
    <t>0.6m</t>
  </si>
  <si>
    <t>1.1m</t>
  </si>
  <si>
    <t>5.5s</t>
  </si>
  <si>
    <t>4.3s</t>
  </si>
  <si>
    <t>1.1s</t>
  </si>
  <si>
    <t>2.3m</t>
  </si>
  <si>
    <t>0.9s</t>
  </si>
  <si>
    <t>6.2m</t>
  </si>
  <si>
    <t>0.1s</t>
  </si>
  <si>
    <t>3.9m</t>
  </si>
  <si>
    <t>9.6s</t>
  </si>
  <si>
    <t>12.8s</t>
  </si>
  <si>
    <t>3.4m</t>
  </si>
  <si>
    <t>0.2s</t>
  </si>
  <si>
    <t>3.1s</t>
  </si>
  <si>
    <t>45.6m</t>
  </si>
  <si>
    <t>0.6s</t>
  </si>
  <si>
    <t>0.7s</t>
  </si>
  <si>
    <t>4.8s</t>
  </si>
  <si>
    <t>12.9m</t>
  </si>
  <si>
    <t>5.4s</t>
  </si>
  <si>
    <t>0.3s</t>
  </si>
  <si>
    <t>2.9m</t>
  </si>
  <si>
    <t>2m</t>
  </si>
  <si>
    <t>3.4s</t>
  </si>
  <si>
    <t>0.9m</t>
  </si>
  <si>
    <t>18.8s</t>
  </si>
  <si>
    <t>1.5m</t>
  </si>
  <si>
    <t>14.5s</t>
  </si>
  <si>
    <t>3.2m</t>
  </si>
  <si>
    <t>1.3m</t>
  </si>
  <si>
    <t>38.6s</t>
  </si>
  <si>
    <t>4.5m</t>
  </si>
  <si>
    <t>0.4s</t>
  </si>
  <si>
    <t>START15RECOURSE</t>
  </si>
  <si>
    <t>START15NORECOURSE</t>
  </si>
  <si>
    <t>START30RECOURSE</t>
  </si>
  <si>
    <t>START30NORECOURSE</t>
  </si>
  <si>
    <t>Replication #</t>
  </si>
  <si>
    <t>Instances</t>
  </si>
  <si>
    <t xml:space="preserve"> WITHOUT PERFECT INFO (AGATZ - ROLLING  DISRUPTION)</t>
  </si>
  <si>
    <t xml:space="preserve">OBJ. FUNC. (TRUCK ONLY) </t>
  </si>
  <si>
    <t>COMP. TIME (sec)</t>
  </si>
  <si>
    <t>R1</t>
  </si>
  <si>
    <t>R2</t>
  </si>
  <si>
    <t>R3</t>
  </si>
  <si>
    <t>R4</t>
  </si>
  <si>
    <t>R5</t>
  </si>
  <si>
    <t>0..03</t>
  </si>
  <si>
    <t>Scen. #</t>
  </si>
  <si>
    <t>Scen. Name</t>
  </si>
  <si>
    <t>INITIAL SOLUTIONS ONLY (WITHOUT PERFECT INFO)  EXACT</t>
  </si>
  <si>
    <t>ENDURANCE = 20 (NO ROLLS, NO ROLL TIME CONSTRAINTS)</t>
  </si>
  <si>
    <t xml:space="preserve"> OBJ. FUNC. (EXACT)</t>
  </si>
  <si>
    <t>3.1 m</t>
  </si>
  <si>
    <t>118.8 s</t>
  </si>
  <si>
    <t xml:space="preserve">2.8m </t>
  </si>
  <si>
    <t>1213.4 s</t>
  </si>
  <si>
    <t>531.6 s</t>
  </si>
  <si>
    <t>1.1 m</t>
  </si>
  <si>
    <t>121.8 s</t>
  </si>
  <si>
    <t>0.6 m</t>
  </si>
  <si>
    <t>148.8 s</t>
  </si>
  <si>
    <t>35.3 s</t>
  </si>
  <si>
    <t>1.5 m</t>
  </si>
  <si>
    <t>469.3 s</t>
  </si>
  <si>
    <t>2.6 m</t>
  </si>
  <si>
    <t>15 s</t>
  </si>
  <si>
    <t>150.4 s</t>
  </si>
  <si>
    <t>306.1 s</t>
  </si>
  <si>
    <t>AV</t>
  </si>
  <si>
    <t>RECvsNODIS</t>
  </si>
  <si>
    <t xml:space="preserve">AVERAGE </t>
  </si>
  <si>
    <t>OVERALL NO RECOURSE</t>
  </si>
  <si>
    <t>OVERALL REC</t>
  </si>
  <si>
    <t>AVERAGE NODISR.</t>
  </si>
  <si>
    <t>REC-H vs NODISR</t>
  </si>
  <si>
    <t>NO RECOURSE-H vs NODISR</t>
  </si>
  <si>
    <t>NORECvsNODISR</t>
  </si>
  <si>
    <t>RECOURSE</t>
  </si>
  <si>
    <t>NO RECOURSE</t>
  </si>
  <si>
    <t>REC vs NO-REC</t>
  </si>
  <si>
    <t>AVERAGE - RECOURSE-H</t>
  </si>
  <si>
    <t>AVERAGE - NO RECOURSE-H</t>
  </si>
  <si>
    <t>AVERAGE - NORECOURSE-H</t>
  </si>
  <si>
    <t>REC-H vs NOREC-H</t>
  </si>
  <si>
    <t>Figure 5</t>
  </si>
  <si>
    <t>Figure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</si>
</sst>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DAE91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CC9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6" borderId="5" applyNumberFormat="0" applyAlignment="0" applyProtection="0"/>
    <xf numFmtId="0" fontId="9" fillId="7" borderId="6" applyNumberFormat="0" applyAlignment="0" applyProtection="0"/>
    <xf numFmtId="0" fontId="10" fillId="7" borderId="5" applyNumberFormat="0" applyAlignment="0" applyProtection="0"/>
    <xf numFmtId="0" fontId="11" fillId="0" borderId="7" applyNumberFormat="0" applyFill="0" applyAlignment="0" applyProtection="0"/>
    <xf numFmtId="0" fontId="12" fillId="8" borderId="8" applyNumberFormat="0" applyAlignment="0" applyProtection="0"/>
    <xf numFmtId="0" fontId="13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2" fillId="35" borderId="1" xfId="0" applyFont="1" applyFill="1" applyBorder="1" applyAlignment="1">
      <alignment horizontal="center" vertical="center" wrapText="1"/>
    </xf>
    <xf numFmtId="0" fontId="20" fillId="0" borderId="1" xfId="0" applyFont="1" applyBorder="1"/>
    <xf numFmtId="0" fontId="19" fillId="2" borderId="1" xfId="0" applyFont="1" applyFill="1" applyBorder="1" applyAlignment="1">
      <alignment horizontal="right"/>
    </xf>
    <xf numFmtId="0" fontId="19" fillId="37" borderId="1" xfId="0" applyFont="1" applyFill="1" applyBorder="1" applyAlignment="1">
      <alignment horizontal="right"/>
    </xf>
    <xf numFmtId="0" fontId="22" fillId="2" borderId="1" xfId="0" applyFont="1" applyFill="1" applyBorder="1" applyAlignment="1">
      <alignment horizontal="center" vertical="center" wrapText="1"/>
    </xf>
    <xf numFmtId="0" fontId="22" fillId="35" borderId="0" xfId="0" applyFont="1" applyFill="1" applyAlignment="1">
      <alignment horizontal="center" vertical="center" wrapText="1"/>
    </xf>
    <xf numFmtId="0" fontId="22" fillId="41" borderId="1" xfId="0" applyFont="1" applyFill="1" applyBorder="1" applyAlignment="1">
      <alignment horizontal="center" vertical="center" wrapText="1"/>
    </xf>
    <xf numFmtId="0" fontId="22" fillId="36" borderId="1" xfId="0" applyFont="1" applyFill="1" applyBorder="1" applyAlignment="1">
      <alignment horizontal="center" vertical="center" wrapText="1"/>
    </xf>
    <xf numFmtId="0" fontId="22" fillId="44" borderId="1" xfId="0" applyFont="1" applyFill="1" applyBorder="1" applyAlignment="1">
      <alignment horizontal="center" wrapText="1"/>
    </xf>
    <xf numFmtId="0" fontId="22" fillId="37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0" fontId="22" fillId="45" borderId="1" xfId="0" applyFont="1" applyFill="1" applyBorder="1" applyAlignment="1">
      <alignment horizontal="center" wrapText="1"/>
    </xf>
    <xf numFmtId="0" fontId="22" fillId="39" borderId="1" xfId="0" applyFont="1" applyFill="1" applyBorder="1" applyAlignment="1">
      <alignment horizontal="center" wrapText="1"/>
    </xf>
    <xf numFmtId="0" fontId="22" fillId="36" borderId="1" xfId="0" applyFont="1" applyFill="1" applyBorder="1" applyAlignment="1">
      <alignment horizontal="center" wrapText="1"/>
    </xf>
    <xf numFmtId="0" fontId="19" fillId="36" borderId="1" xfId="0" applyFont="1" applyFill="1" applyBorder="1" applyAlignment="1">
      <alignment horizontal="right"/>
    </xf>
    <xf numFmtId="0" fontId="19" fillId="44" borderId="1" xfId="0" applyFont="1" applyFill="1" applyBorder="1" applyAlignment="1">
      <alignment horizontal="right"/>
    </xf>
    <xf numFmtId="0" fontId="19" fillId="45" borderId="1" xfId="0" applyFont="1" applyFill="1" applyBorder="1" applyAlignment="1">
      <alignment horizontal="right"/>
    </xf>
    <xf numFmtId="0" fontId="23" fillId="39" borderId="1" xfId="0" applyFont="1" applyFill="1" applyBorder="1" applyAlignment="1">
      <alignment horizontal="right"/>
    </xf>
    <xf numFmtId="0" fontId="22" fillId="46" borderId="1" xfId="0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 vertical="center" wrapText="1"/>
    </xf>
    <xf numFmtId="0" fontId="20" fillId="38" borderId="1" xfId="0" applyFont="1" applyFill="1" applyBorder="1"/>
    <xf numFmtId="0" fontId="20" fillId="49" borderId="1" xfId="0" applyFont="1" applyFill="1" applyBorder="1"/>
    <xf numFmtId="0" fontId="24" fillId="47" borderId="1" xfId="0" applyFont="1" applyFill="1" applyBorder="1" applyAlignment="1">
      <alignment horizontal="center" vertical="center" wrapText="1"/>
    </xf>
    <xf numFmtId="0" fontId="19" fillId="47" borderId="1" xfId="0" applyFont="1" applyFill="1" applyBorder="1" applyAlignment="1">
      <alignment horizontal="right"/>
    </xf>
    <xf numFmtId="0" fontId="25" fillId="0" borderId="0" xfId="0" applyFont="1"/>
    <xf numFmtId="0" fontId="15" fillId="36" borderId="1" xfId="0" applyFont="1" applyFill="1" applyBorder="1" applyAlignment="1">
      <alignment horizontal="center" wrapText="1"/>
    </xf>
    <xf numFmtId="0" fontId="15" fillId="44" borderId="1" xfId="0" applyFont="1" applyFill="1" applyBorder="1" applyAlignment="1">
      <alignment horizontal="center" wrapText="1"/>
    </xf>
    <xf numFmtId="0" fontId="15" fillId="37" borderId="1" xfId="0" applyFont="1" applyFill="1" applyBorder="1" applyAlignment="1">
      <alignment horizontal="center" wrapText="1"/>
    </xf>
    <xf numFmtId="0" fontId="15" fillId="45" borderId="1" xfId="0" applyFont="1" applyFill="1" applyBorder="1" applyAlignment="1">
      <alignment horizontal="center" wrapText="1"/>
    </xf>
    <xf numFmtId="0" fontId="15" fillId="39" borderId="1" xfId="0" applyFont="1" applyFill="1" applyBorder="1" applyAlignment="1">
      <alignment horizontal="center" wrapText="1"/>
    </xf>
    <xf numFmtId="0" fontId="26" fillId="36" borderId="1" xfId="0" applyFont="1" applyFill="1" applyBorder="1" applyAlignment="1">
      <alignment horizontal="left"/>
    </xf>
    <xf numFmtId="0" fontId="26" fillId="44" borderId="1" xfId="0" applyFont="1" applyFill="1" applyBorder="1" applyAlignment="1">
      <alignment horizontal="left"/>
    </xf>
    <xf numFmtId="0" fontId="26" fillId="37" borderId="1" xfId="0" applyFont="1" applyFill="1" applyBorder="1" applyAlignment="1">
      <alignment horizontal="left"/>
    </xf>
    <xf numFmtId="0" fontId="26" fillId="45" borderId="1" xfId="0" applyFont="1" applyFill="1" applyBorder="1" applyAlignment="1">
      <alignment horizontal="left"/>
    </xf>
    <xf numFmtId="0" fontId="27" fillId="39" borderId="1" xfId="0" applyFont="1" applyFill="1" applyBorder="1" applyAlignment="1">
      <alignment horizontal="left"/>
    </xf>
    <xf numFmtId="0" fontId="28" fillId="0" borderId="0" xfId="0" applyFont="1"/>
    <xf numFmtId="0" fontId="22" fillId="35" borderId="19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0" borderId="0" xfId="0" applyFont="1"/>
    <xf numFmtId="0" fontId="20" fillId="46" borderId="0" xfId="0" applyFont="1" applyFill="1"/>
    <xf numFmtId="0" fontId="20" fillId="48" borderId="0" xfId="0" applyFont="1" applyFill="1"/>
    <xf numFmtId="0" fontId="0" fillId="0" borderId="1" xfId="0" applyBorder="1"/>
    <xf numFmtId="0" fontId="18" fillId="35" borderId="0" xfId="0" applyFont="1" applyFill="1" applyAlignment="1">
      <alignment horizontal="center" vertical="center" wrapText="1"/>
    </xf>
    <xf numFmtId="0" fontId="20" fillId="46" borderId="1" xfId="0" applyFont="1" applyFill="1" applyBorder="1"/>
    <xf numFmtId="164" fontId="21" fillId="0" borderId="0" xfId="42" applyNumberFormat="1" applyFont="1"/>
    <xf numFmtId="164" fontId="29" fillId="0" borderId="0" xfId="42" applyNumberFormat="1" applyFont="1"/>
    <xf numFmtId="0" fontId="29" fillId="0" borderId="0" xfId="0" applyFont="1"/>
    <xf numFmtId="0" fontId="18" fillId="0" borderId="1" xfId="0" applyFont="1" applyBorder="1" applyAlignment="1">
      <alignment horizontal="center" vertical="center" wrapText="1"/>
    </xf>
    <xf numFmtId="0" fontId="21" fillId="38" borderId="11" xfId="0" applyFont="1" applyFill="1" applyBorder="1" applyAlignment="1">
      <alignment horizontal="center"/>
    </xf>
    <xf numFmtId="0" fontId="21" fillId="38" borderId="13" xfId="0" applyFont="1" applyFill="1" applyBorder="1" applyAlignment="1">
      <alignment horizontal="center"/>
    </xf>
    <xf numFmtId="0" fontId="21" fillId="38" borderId="12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19" fillId="34" borderId="13" xfId="0" applyFont="1" applyFill="1" applyBorder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9" fillId="40" borderId="11" xfId="0" applyFont="1" applyFill="1" applyBorder="1" applyAlignment="1">
      <alignment horizontal="center"/>
    </xf>
    <xf numFmtId="0" fontId="19" fillId="40" borderId="13" xfId="0" applyFont="1" applyFill="1" applyBorder="1" applyAlignment="1">
      <alignment horizontal="center"/>
    </xf>
    <xf numFmtId="0" fontId="19" fillId="40" borderId="12" xfId="0" applyFont="1" applyFill="1" applyBorder="1" applyAlignment="1">
      <alignment horizontal="center"/>
    </xf>
    <xf numFmtId="0" fontId="18" fillId="48" borderId="17" xfId="0" applyFont="1" applyFill="1" applyBorder="1" applyAlignment="1">
      <alignment horizontal="center" vertical="center" textRotation="180" wrapText="1"/>
    </xf>
    <xf numFmtId="0" fontId="18" fillId="48" borderId="19" xfId="0" applyFont="1" applyFill="1" applyBorder="1" applyAlignment="1">
      <alignment horizontal="center" vertical="center" textRotation="180" wrapText="1"/>
    </xf>
    <xf numFmtId="0" fontId="18" fillId="48" borderId="18" xfId="0" applyFont="1" applyFill="1" applyBorder="1" applyAlignment="1">
      <alignment horizontal="center" vertical="center" textRotation="180" wrapText="1"/>
    </xf>
    <xf numFmtId="0" fontId="18" fillId="40" borderId="17" xfId="0" applyFont="1" applyFill="1" applyBorder="1" applyAlignment="1">
      <alignment horizontal="center" vertical="center" textRotation="180" wrapText="1"/>
    </xf>
    <xf numFmtId="0" fontId="18" fillId="40" borderId="19" xfId="0" applyFont="1" applyFill="1" applyBorder="1" applyAlignment="1">
      <alignment horizontal="center" vertical="center" textRotation="180" wrapText="1"/>
    </xf>
    <xf numFmtId="0" fontId="18" fillId="40" borderId="18" xfId="0" applyFont="1" applyFill="1" applyBorder="1" applyAlignment="1">
      <alignment horizontal="center" vertical="center" textRotation="180" wrapText="1"/>
    </xf>
    <xf numFmtId="0" fontId="21" fillId="38" borderId="14" xfId="0" applyFont="1" applyFill="1" applyBorder="1" applyAlignment="1">
      <alignment horizontal="center"/>
    </xf>
    <xf numFmtId="0" fontId="21" fillId="38" borderId="0" xfId="0" applyFont="1" applyFill="1" applyAlignment="1">
      <alignment horizontal="center"/>
    </xf>
    <xf numFmtId="0" fontId="21" fillId="34" borderId="15" xfId="0" applyFont="1" applyFill="1" applyBorder="1" applyAlignment="1">
      <alignment horizontal="center"/>
    </xf>
    <xf numFmtId="0" fontId="21" fillId="34" borderId="16" xfId="0" applyFont="1" applyFill="1" applyBorder="1" applyAlignment="1">
      <alignment horizontal="center"/>
    </xf>
    <xf numFmtId="0" fontId="21" fillId="34" borderId="20" xfId="0" applyFont="1" applyFill="1" applyBorder="1" applyAlignment="1">
      <alignment horizontal="center"/>
    </xf>
    <xf numFmtId="0" fontId="21" fillId="43" borderId="15" xfId="0" applyFont="1" applyFill="1" applyBorder="1" applyAlignment="1">
      <alignment horizontal="center"/>
    </xf>
    <xf numFmtId="0" fontId="21" fillId="43" borderId="16" xfId="0" applyFont="1" applyFill="1" applyBorder="1" applyAlignment="1">
      <alignment horizontal="center"/>
    </xf>
    <xf numFmtId="0" fontId="18" fillId="38" borderId="11" xfId="0" applyFont="1" applyFill="1" applyBorder="1" applyAlignment="1">
      <alignment horizontal="center"/>
    </xf>
    <xf numFmtId="0" fontId="18" fillId="38" borderId="13" xfId="0" applyFont="1" applyFill="1" applyBorder="1" applyAlignment="1">
      <alignment horizontal="center"/>
    </xf>
    <xf numFmtId="0" fontId="18" fillId="38" borderId="12" xfId="0" applyFont="1" applyFill="1" applyBorder="1" applyAlignment="1">
      <alignment horizontal="center"/>
    </xf>
    <xf numFmtId="0" fontId="20" fillId="46" borderId="11" xfId="0" applyFont="1" applyFill="1" applyBorder="1" applyAlignment="1">
      <alignment horizontal="center"/>
    </xf>
    <xf numFmtId="0" fontId="20" fillId="46" borderId="13" xfId="0" applyFont="1" applyFill="1" applyBorder="1" applyAlignment="1">
      <alignment horizontal="center"/>
    </xf>
    <xf numFmtId="0" fontId="20" fillId="46" borderId="12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50" borderId="1" xfId="0" applyFont="1" applyFill="1" applyBorder="1" applyAlignment="1">
      <alignment horizontal="center"/>
    </xf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00000000-0005-0000-0000-000023000000}"/>
    <cellStyle name="Normal" xfId="0" builtinId="0"/>
    <cellStyle name="Note" xfId="14" builtinId="10" customBuiltin="1"/>
    <cellStyle name="Output" xfId="9" builtinId="21" customBuiltin="1"/>
    <cellStyle name="Percent" xfId="42" builtinId="5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colors>
    <mruColors>
      <color rgb="FFCCECFF"/>
      <color rgb="FF6699FF"/>
      <color rgb="FFDAE917"/>
      <color rgb="FF66FFFF"/>
      <color rgb="FFCCCCFF"/>
      <color rgb="FFCCFF33"/>
      <color rgb="FFCC00FF"/>
      <color rgb="FFFF9900"/>
      <color rgb="FFFF6600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plotArea>
      <cx:plotAreaRegion>
        <cx:series layoutId="boxWhisker" uniqueId="{C6A43175-FE70-426E-9558-85B079B5A658}">
          <cx:tx>
            <cx:txData>
              <cx:f>_xlchart.v1.0</cx:f>
              <cx:v>START15RECOURSE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CE8D156-FB55-40CB-904F-66704D06B9C9}">
          <cx:tx>
            <cx:txData>
              <cx:f>_xlchart.v1.2</cx:f>
              <cx:v>START30RECOURSE</cx:v>
            </cx:txData>
          </cx:tx>
          <cx:spPr>
            <a:ln w="12700"/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FF028B6-812A-43E0-B851-1A2156CB890C}">
          <cx:tx>
            <cx:txData>
              <cx:f>_xlchart.v1.4</cx:f>
              <cx:v>START15NORECOURSE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989929B-128B-4882-A6A7-420365DEB13A}">
          <cx:tx>
            <cx:txData>
              <cx:f>_xlchart.v1.6</cx:f>
              <cx:v>START30NORECOURSE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20" min="60"/>
        <cx:title>
          <cx:tx>
            <cx:txData>
              <cx:v>makespan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makespan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300"/>
          </a:pPr>
          <a:endParaRPr lang="en-US" sz="13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ln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  <cx:data id="3">
      <cx:numDim type="val">
        <cx:f>_xlchart.v1.13</cx:f>
      </cx:numDim>
    </cx:data>
  </cx:chartData>
  <cx:chart>
    <cx:plotArea>
      <cx:plotAreaRegion>
        <cx:series layoutId="boxWhisker" uniqueId="{00000000-8663-4DBE-9B3E-4208061A58B1}">
          <cx:tx>
            <cx:txData>
              <cx:f>_xlchart.v1.14</cx:f>
              <cx:v>START15RECOURSE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663-4DBE-9B3E-4208061A58B1}">
          <cx:tx>
            <cx:txData>
              <cx:f>_xlchart.v1.8</cx:f>
              <cx:v>START30RECOURSE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8663-4DBE-9B3E-4208061A58B1}">
          <cx:tx>
            <cx:txData>
              <cx:f>_xlchart.v1.10</cx:f>
              <cx:v>START15NORECOURSE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8663-4DBE-9B3E-4208061A58B1}">
          <cx:tx>
            <cx:txData>
              <cx:f>_xlchart.v1.12</cx:f>
              <cx:v>START30NORECOURSE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20" min="60"/>
        <cx:title>
          <cx:tx>
            <cx:txData>
              <cx:v>makespan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/>
              </a:pPr>
              <a:r>
                <a:rPr lang="en-U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makespan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en-U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en-US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275358</xdr:colOff>
      <xdr:row>4</xdr:row>
      <xdr:rowOff>142009</xdr:rowOff>
    </xdr:from>
    <xdr:to>
      <xdr:col>45</xdr:col>
      <xdr:colOff>428625</xdr:colOff>
      <xdr:row>17</xdr:row>
      <xdr:rowOff>9526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04B6AF0-DA47-5D4A-F929-779DB510F5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27546" y="1646959"/>
              <a:ext cx="5982567" cy="37060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390525</xdr:colOff>
      <xdr:row>2</xdr:row>
      <xdr:rowOff>228600</xdr:rowOff>
    </xdr:from>
    <xdr:to>
      <xdr:col>38</xdr:col>
      <xdr:colOff>323850</xdr:colOff>
      <xdr:row>11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C2F01A9-730F-46D6-9B58-D98B2C2D90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18400" y="819150"/>
              <a:ext cx="5272088" cy="3105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BF00-83FA-4DC1-A354-289EA42CD361}">
  <dimension ref="A1:AL41"/>
  <sheetViews>
    <sheetView topLeftCell="R1" zoomScale="55" zoomScaleNormal="55" workbookViewId="0">
      <selection activeCell="AL21" sqref="AL21"/>
    </sheetView>
  </sheetViews>
  <sheetFormatPr defaultRowHeight="14.25" x14ac:dyDescent="0.45"/>
  <cols>
    <col min="2" max="2" width="19.3984375" bestFit="1" customWidth="1"/>
    <col min="3" max="26" width="14.1328125" customWidth="1"/>
    <col min="31" max="31" width="22.3984375" bestFit="1" customWidth="1"/>
    <col min="32" max="32" width="22.3984375" customWidth="1"/>
    <col min="33" max="34" width="22.3984375" bestFit="1" customWidth="1"/>
  </cols>
  <sheetData>
    <row r="1" spans="1:34" ht="23.25" x14ac:dyDescent="0.7">
      <c r="A1" s="48"/>
      <c r="B1" s="48"/>
      <c r="C1" s="49" t="s">
        <v>25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  <c r="O1" s="49" t="s">
        <v>25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1"/>
      <c r="AE1" t="s">
        <v>83</v>
      </c>
      <c r="AF1" t="s">
        <v>85</v>
      </c>
      <c r="AG1" t="s">
        <v>84</v>
      </c>
      <c r="AH1" t="s">
        <v>86</v>
      </c>
    </row>
    <row r="2" spans="1:34" ht="23.25" x14ac:dyDescent="0.7">
      <c r="A2" s="48"/>
      <c r="B2" s="48"/>
      <c r="C2" s="52" t="s">
        <v>11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4"/>
      <c r="O2" s="52" t="s">
        <v>12</v>
      </c>
      <c r="P2" s="53"/>
      <c r="Q2" s="53"/>
      <c r="R2" s="53"/>
      <c r="S2" s="53"/>
      <c r="T2" s="53"/>
      <c r="U2" s="53"/>
      <c r="V2" s="53"/>
      <c r="W2" s="53"/>
      <c r="X2" s="53"/>
      <c r="Y2" s="53"/>
      <c r="Z2" s="54"/>
      <c r="AE2" s="15">
        <v>90.8</v>
      </c>
      <c r="AF2" s="15">
        <v>87</v>
      </c>
      <c r="AG2" s="16">
        <v>115.6</v>
      </c>
      <c r="AH2" s="16">
        <v>101.9</v>
      </c>
    </row>
    <row r="3" spans="1:34" ht="23.25" x14ac:dyDescent="0.7">
      <c r="A3" s="48"/>
      <c r="B3" s="48"/>
      <c r="C3" s="49" t="s">
        <v>13</v>
      </c>
      <c r="D3" s="50"/>
      <c r="E3" s="50"/>
      <c r="F3" s="50"/>
      <c r="G3" s="50"/>
      <c r="H3" s="51"/>
      <c r="I3" s="55" t="s">
        <v>0</v>
      </c>
      <c r="J3" s="56"/>
      <c r="K3" s="56"/>
      <c r="L3" s="56"/>
      <c r="M3" s="56"/>
      <c r="N3" s="57"/>
      <c r="O3" s="49" t="s">
        <v>13</v>
      </c>
      <c r="P3" s="50"/>
      <c r="Q3" s="50"/>
      <c r="R3" s="50"/>
      <c r="S3" s="50"/>
      <c r="T3" s="51"/>
      <c r="U3" s="55" t="s">
        <v>0</v>
      </c>
      <c r="V3" s="56"/>
      <c r="W3" s="56"/>
      <c r="X3" s="56"/>
      <c r="Y3" s="56"/>
      <c r="Z3" s="57"/>
      <c r="AE3" s="15">
        <v>71.8</v>
      </c>
      <c r="AF3" s="15">
        <v>81.900000000000006</v>
      </c>
      <c r="AG3" s="16">
        <v>89.4</v>
      </c>
      <c r="AH3" s="16">
        <v>88.3</v>
      </c>
    </row>
    <row r="4" spans="1:34" ht="48.75" x14ac:dyDescent="0.7">
      <c r="A4" s="48"/>
      <c r="B4" s="48"/>
      <c r="C4" s="8" t="s">
        <v>26</v>
      </c>
      <c r="D4" s="9" t="s">
        <v>27</v>
      </c>
      <c r="E4" s="10" t="s">
        <v>28</v>
      </c>
      <c r="F4" s="11" t="s">
        <v>29</v>
      </c>
      <c r="G4" s="12" t="s">
        <v>30</v>
      </c>
      <c r="H4" s="13" t="s">
        <v>31</v>
      </c>
      <c r="I4" s="14" t="s">
        <v>26</v>
      </c>
      <c r="J4" s="9" t="s">
        <v>27</v>
      </c>
      <c r="K4" s="10" t="s">
        <v>28</v>
      </c>
      <c r="L4" s="11" t="s">
        <v>32</v>
      </c>
      <c r="M4" s="12" t="s">
        <v>33</v>
      </c>
      <c r="N4" s="13" t="s">
        <v>31</v>
      </c>
      <c r="O4" s="8" t="s">
        <v>26</v>
      </c>
      <c r="P4" s="9" t="s">
        <v>27</v>
      </c>
      <c r="Q4" s="10" t="s">
        <v>28</v>
      </c>
      <c r="R4" s="11" t="s">
        <v>32</v>
      </c>
      <c r="S4" s="12" t="s">
        <v>33</v>
      </c>
      <c r="T4" s="13" t="s">
        <v>31</v>
      </c>
      <c r="U4" s="14" t="s">
        <v>26</v>
      </c>
      <c r="V4" s="9" t="s">
        <v>27</v>
      </c>
      <c r="W4" s="10" t="s">
        <v>28</v>
      </c>
      <c r="X4" s="11" t="s">
        <v>32</v>
      </c>
      <c r="Y4" s="12" t="s">
        <v>33</v>
      </c>
      <c r="Z4" s="13" t="s">
        <v>31</v>
      </c>
      <c r="AE4" s="15">
        <v>85.1</v>
      </c>
      <c r="AF4" s="15">
        <v>89.2</v>
      </c>
      <c r="AG4" s="16">
        <v>93.9</v>
      </c>
      <c r="AH4" s="16">
        <v>95.9</v>
      </c>
    </row>
    <row r="5" spans="1:34" ht="23.25" x14ac:dyDescent="0.7">
      <c r="A5" s="2">
        <v>1</v>
      </c>
      <c r="B5" s="1" t="s">
        <v>1</v>
      </c>
      <c r="C5" s="15">
        <v>90.8</v>
      </c>
      <c r="D5" s="16">
        <v>115.6</v>
      </c>
      <c r="E5" s="4">
        <v>4</v>
      </c>
      <c r="F5" s="3">
        <v>2.5</v>
      </c>
      <c r="G5" s="17">
        <v>0</v>
      </c>
      <c r="H5" s="18" t="s">
        <v>34</v>
      </c>
      <c r="I5" s="15">
        <v>92.3</v>
      </c>
      <c r="J5" s="16">
        <v>115.6</v>
      </c>
      <c r="K5" s="4">
        <v>5</v>
      </c>
      <c r="L5" s="3" t="s">
        <v>35</v>
      </c>
      <c r="M5" s="17" t="s">
        <v>36</v>
      </c>
      <c r="N5" s="18">
        <v>29.8</v>
      </c>
      <c r="O5" s="15">
        <v>87</v>
      </c>
      <c r="P5" s="16">
        <v>101.9</v>
      </c>
      <c r="Q5" s="4">
        <v>5</v>
      </c>
      <c r="R5" s="3">
        <v>0</v>
      </c>
      <c r="S5" s="17" t="s">
        <v>37</v>
      </c>
      <c r="T5" s="18" t="s">
        <v>38</v>
      </c>
      <c r="U5" s="15">
        <v>85.6</v>
      </c>
      <c r="V5" s="16">
        <v>101.9</v>
      </c>
      <c r="W5" s="4">
        <v>4</v>
      </c>
      <c r="X5" s="3">
        <v>0</v>
      </c>
      <c r="Y5" s="17">
        <v>0</v>
      </c>
      <c r="Z5" s="18" t="s">
        <v>39</v>
      </c>
      <c r="AE5" s="15">
        <v>97.8</v>
      </c>
      <c r="AF5" s="15">
        <v>99.1</v>
      </c>
      <c r="AG5" s="16">
        <v>101</v>
      </c>
      <c r="AH5" s="16">
        <v>101.6</v>
      </c>
    </row>
    <row r="6" spans="1:34" ht="23.25" x14ac:dyDescent="0.7">
      <c r="A6" s="2">
        <v>2</v>
      </c>
      <c r="B6" s="1" t="s">
        <v>2</v>
      </c>
      <c r="C6" s="15">
        <v>71.8</v>
      </c>
      <c r="D6" s="16">
        <v>89.4</v>
      </c>
      <c r="E6" s="4">
        <v>3</v>
      </c>
      <c r="F6" s="3">
        <v>0</v>
      </c>
      <c r="G6" s="17">
        <v>0</v>
      </c>
      <c r="H6" s="18" t="s">
        <v>40</v>
      </c>
      <c r="I6" s="15">
        <v>83.5</v>
      </c>
      <c r="J6" s="16">
        <v>89.4</v>
      </c>
      <c r="K6" s="4">
        <v>3</v>
      </c>
      <c r="L6" s="3">
        <v>0</v>
      </c>
      <c r="M6" s="17" t="s">
        <v>41</v>
      </c>
      <c r="N6" s="18" t="s">
        <v>42</v>
      </c>
      <c r="O6" s="15">
        <v>81.900000000000006</v>
      </c>
      <c r="P6" s="16">
        <v>88.3</v>
      </c>
      <c r="Q6" s="4">
        <v>5</v>
      </c>
      <c r="R6" s="3" t="s">
        <v>43</v>
      </c>
      <c r="S6" s="17" t="s">
        <v>44</v>
      </c>
      <c r="T6" s="18" t="s">
        <v>39</v>
      </c>
      <c r="U6" s="15">
        <v>82.8</v>
      </c>
      <c r="V6" s="16">
        <v>88.3</v>
      </c>
      <c r="W6" s="4">
        <v>4</v>
      </c>
      <c r="X6" s="3">
        <v>5.3</v>
      </c>
      <c r="Y6" s="17">
        <v>0</v>
      </c>
      <c r="Z6" s="18" t="s">
        <v>42</v>
      </c>
      <c r="AE6" s="15">
        <v>76.400000000000006</v>
      </c>
      <c r="AF6" s="15">
        <v>72.400000000000006</v>
      </c>
      <c r="AG6" s="16">
        <v>96.3</v>
      </c>
      <c r="AH6" s="16">
        <v>98.5</v>
      </c>
    </row>
    <row r="7" spans="1:34" ht="23.25" x14ac:dyDescent="0.7">
      <c r="A7" s="2">
        <v>3</v>
      </c>
      <c r="B7" s="1" t="s">
        <v>3</v>
      </c>
      <c r="C7" s="15">
        <v>85.1</v>
      </c>
      <c r="D7" s="16">
        <v>93.9</v>
      </c>
      <c r="E7" s="4">
        <v>3</v>
      </c>
      <c r="F7" s="3">
        <v>0.1</v>
      </c>
      <c r="G7" s="17">
        <v>0</v>
      </c>
      <c r="H7" s="18" t="s">
        <v>45</v>
      </c>
      <c r="I7" s="15">
        <v>89.2</v>
      </c>
      <c r="J7" s="16">
        <v>93.9</v>
      </c>
      <c r="K7" s="4">
        <v>2</v>
      </c>
      <c r="L7" s="3" t="s">
        <v>46</v>
      </c>
      <c r="M7" s="17" t="s">
        <v>47</v>
      </c>
      <c r="N7" s="18" t="s">
        <v>48</v>
      </c>
      <c r="O7" s="15">
        <v>89.2</v>
      </c>
      <c r="P7" s="16">
        <v>95.9</v>
      </c>
      <c r="Q7" s="4">
        <v>3</v>
      </c>
      <c r="R7" s="3" t="s">
        <v>49</v>
      </c>
      <c r="S7" s="17" t="s">
        <v>50</v>
      </c>
      <c r="T7" s="18" t="s">
        <v>51</v>
      </c>
      <c r="U7" s="15">
        <v>84.8</v>
      </c>
      <c r="V7" s="16">
        <v>95.9</v>
      </c>
      <c r="W7" s="4">
        <v>3</v>
      </c>
      <c r="X7" s="3" t="s">
        <v>49</v>
      </c>
      <c r="Y7" s="17">
        <v>0</v>
      </c>
      <c r="Z7" s="18" t="s">
        <v>52</v>
      </c>
      <c r="AE7" s="15">
        <v>72.400000000000006</v>
      </c>
      <c r="AF7" s="15">
        <v>80</v>
      </c>
      <c r="AG7" s="16">
        <v>77</v>
      </c>
      <c r="AH7" s="16">
        <v>80</v>
      </c>
    </row>
    <row r="8" spans="1:34" ht="23.25" x14ac:dyDescent="0.7">
      <c r="A8" s="2">
        <v>4</v>
      </c>
      <c r="B8" s="1" t="s">
        <v>4</v>
      </c>
      <c r="C8" s="15">
        <v>97.8</v>
      </c>
      <c r="D8" s="16">
        <v>101</v>
      </c>
      <c r="E8" s="4">
        <v>3</v>
      </c>
      <c r="F8" s="3">
        <v>2.2999999999999998</v>
      </c>
      <c r="G8" s="17">
        <v>0</v>
      </c>
      <c r="H8" s="18" t="s">
        <v>53</v>
      </c>
      <c r="I8" s="15">
        <v>98.5</v>
      </c>
      <c r="J8" s="16">
        <v>101</v>
      </c>
      <c r="K8" s="4">
        <v>2</v>
      </c>
      <c r="L8" s="3" t="s">
        <v>54</v>
      </c>
      <c r="M8" s="17">
        <v>0</v>
      </c>
      <c r="N8" s="18" t="s">
        <v>55</v>
      </c>
      <c r="O8" s="15">
        <v>99.1</v>
      </c>
      <c r="P8" s="16">
        <v>101.6</v>
      </c>
      <c r="Q8" s="4">
        <v>4</v>
      </c>
      <c r="R8" s="3" t="s">
        <v>56</v>
      </c>
      <c r="S8" s="17">
        <v>0</v>
      </c>
      <c r="T8" s="18" t="s">
        <v>57</v>
      </c>
      <c r="U8" s="15">
        <v>101.6</v>
      </c>
      <c r="V8" s="16">
        <v>101.6</v>
      </c>
      <c r="W8" s="4">
        <v>3</v>
      </c>
      <c r="X8" s="3" t="s">
        <v>56</v>
      </c>
      <c r="Y8" s="17">
        <v>0</v>
      </c>
      <c r="Z8" s="18" t="s">
        <v>57</v>
      </c>
      <c r="AE8" s="15">
        <v>96.8</v>
      </c>
      <c r="AF8" s="15">
        <v>90.6</v>
      </c>
      <c r="AG8" s="16">
        <v>117.3</v>
      </c>
      <c r="AH8" s="16">
        <v>104.4</v>
      </c>
    </row>
    <row r="9" spans="1:34" ht="23.25" x14ac:dyDescent="0.7">
      <c r="A9" s="2">
        <v>5</v>
      </c>
      <c r="B9" s="1" t="s">
        <v>5</v>
      </c>
      <c r="C9" s="15">
        <v>76.400000000000006</v>
      </c>
      <c r="D9" s="16">
        <v>96.3</v>
      </c>
      <c r="E9" s="4">
        <v>4</v>
      </c>
      <c r="F9" s="3">
        <v>3.5</v>
      </c>
      <c r="G9" s="17" t="s">
        <v>58</v>
      </c>
      <c r="H9" s="18" t="s">
        <v>59</v>
      </c>
      <c r="I9" s="15">
        <v>83</v>
      </c>
      <c r="J9" s="16">
        <v>96.3</v>
      </c>
      <c r="K9" s="4">
        <v>3</v>
      </c>
      <c r="L9" s="3" t="s">
        <v>44</v>
      </c>
      <c r="M9" s="17">
        <v>0</v>
      </c>
      <c r="N9" s="18" t="s">
        <v>60</v>
      </c>
      <c r="O9" s="15">
        <v>72.400000000000006</v>
      </c>
      <c r="P9" s="16">
        <v>98.5</v>
      </c>
      <c r="Q9" s="4">
        <v>4</v>
      </c>
      <c r="R9" s="3">
        <v>0</v>
      </c>
      <c r="S9" s="17" t="s">
        <v>61</v>
      </c>
      <c r="T9" s="18" t="s">
        <v>57</v>
      </c>
      <c r="U9" s="15">
        <v>81.7</v>
      </c>
      <c r="V9" s="16">
        <v>98.5</v>
      </c>
      <c r="W9" s="4">
        <v>3</v>
      </c>
      <c r="X9" s="3">
        <v>0</v>
      </c>
      <c r="Y9" s="17">
        <v>0</v>
      </c>
      <c r="Z9" s="18" t="s">
        <v>62</v>
      </c>
      <c r="AE9" s="15">
        <v>96.4</v>
      </c>
      <c r="AF9" s="15">
        <v>94.7</v>
      </c>
      <c r="AG9" s="16">
        <v>102.4</v>
      </c>
      <c r="AH9" s="16">
        <v>96.2</v>
      </c>
    </row>
    <row r="10" spans="1:34" ht="23.25" x14ac:dyDescent="0.7">
      <c r="A10" s="2">
        <v>6</v>
      </c>
      <c r="B10" s="1" t="s">
        <v>6</v>
      </c>
      <c r="C10" s="15">
        <v>72.400000000000006</v>
      </c>
      <c r="D10" s="16">
        <v>77</v>
      </c>
      <c r="E10" s="4">
        <v>3</v>
      </c>
      <c r="F10" s="3">
        <v>0</v>
      </c>
      <c r="G10" s="17">
        <v>0</v>
      </c>
      <c r="H10" s="18" t="s">
        <v>63</v>
      </c>
      <c r="I10" s="15">
        <v>74.400000000000006</v>
      </c>
      <c r="J10" s="16">
        <v>77</v>
      </c>
      <c r="K10" s="4">
        <v>2</v>
      </c>
      <c r="L10" s="3">
        <v>0</v>
      </c>
      <c r="M10" s="17">
        <v>0</v>
      </c>
      <c r="N10" s="18" t="s">
        <v>39</v>
      </c>
      <c r="O10" s="15">
        <v>80</v>
      </c>
      <c r="P10" s="16">
        <v>80</v>
      </c>
      <c r="Q10" s="4">
        <v>2</v>
      </c>
      <c r="R10" s="3" t="s">
        <v>64</v>
      </c>
      <c r="S10" s="17">
        <v>0</v>
      </c>
      <c r="T10" s="18" t="s">
        <v>65</v>
      </c>
      <c r="U10" s="15">
        <v>80</v>
      </c>
      <c r="V10" s="16">
        <v>80</v>
      </c>
      <c r="W10" s="4">
        <v>2</v>
      </c>
      <c r="X10" s="3" t="s">
        <v>64</v>
      </c>
      <c r="Y10" s="17">
        <v>0</v>
      </c>
      <c r="Z10" s="18" t="s">
        <v>66</v>
      </c>
      <c r="AE10" s="15">
        <v>67.099999999999994</v>
      </c>
      <c r="AF10" s="15">
        <v>68.599999999999994</v>
      </c>
      <c r="AG10" s="16">
        <v>76.5</v>
      </c>
      <c r="AH10" s="16">
        <v>76.400000000000006</v>
      </c>
    </row>
    <row r="11" spans="1:34" ht="23.25" x14ac:dyDescent="0.7">
      <c r="A11" s="2">
        <v>7</v>
      </c>
      <c r="B11" s="1" t="s">
        <v>7</v>
      </c>
      <c r="C11" s="15">
        <v>96.8</v>
      </c>
      <c r="D11" s="16">
        <v>117.3</v>
      </c>
      <c r="E11" s="4">
        <v>4</v>
      </c>
      <c r="F11" s="3">
        <v>12.9</v>
      </c>
      <c r="G11" s="17">
        <v>0</v>
      </c>
      <c r="H11" s="18" t="s">
        <v>67</v>
      </c>
      <c r="I11" s="15">
        <v>96.8</v>
      </c>
      <c r="J11" s="16">
        <v>117.3</v>
      </c>
      <c r="K11" s="4">
        <v>4</v>
      </c>
      <c r="L11" s="3" t="s">
        <v>68</v>
      </c>
      <c r="M11" s="17">
        <v>0</v>
      </c>
      <c r="N11" s="18" t="s">
        <v>69</v>
      </c>
      <c r="O11" s="15">
        <v>90.6</v>
      </c>
      <c r="P11" s="16">
        <v>104.4</v>
      </c>
      <c r="Q11" s="4">
        <v>4</v>
      </c>
      <c r="R11" s="3">
        <v>0</v>
      </c>
      <c r="S11" s="17">
        <v>0</v>
      </c>
      <c r="T11" s="18" t="s">
        <v>70</v>
      </c>
      <c r="U11" s="15">
        <v>91</v>
      </c>
      <c r="V11" s="16">
        <v>104.4</v>
      </c>
      <c r="W11" s="4">
        <v>3</v>
      </c>
      <c r="X11" s="3">
        <v>0</v>
      </c>
      <c r="Y11" s="17">
        <v>0</v>
      </c>
      <c r="Z11" s="18" t="s">
        <v>70</v>
      </c>
      <c r="AE11" s="15">
        <v>81.099999999999994</v>
      </c>
      <c r="AF11" s="15">
        <v>85.8</v>
      </c>
      <c r="AG11" s="16">
        <v>97.3</v>
      </c>
      <c r="AH11" s="16">
        <v>92.8</v>
      </c>
    </row>
    <row r="12" spans="1:34" ht="23.25" x14ac:dyDescent="0.7">
      <c r="A12" s="2">
        <v>8</v>
      </c>
      <c r="B12" s="1" t="s">
        <v>8</v>
      </c>
      <c r="C12" s="15">
        <v>96.4</v>
      </c>
      <c r="D12" s="16">
        <v>102.4</v>
      </c>
      <c r="E12" s="4">
        <v>2</v>
      </c>
      <c r="F12" s="3">
        <v>2.9</v>
      </c>
      <c r="G12" s="17">
        <v>0</v>
      </c>
      <c r="H12" s="18" t="s">
        <v>70</v>
      </c>
      <c r="I12" s="15">
        <v>102.4</v>
      </c>
      <c r="J12" s="16">
        <v>102.4</v>
      </c>
      <c r="K12" s="4">
        <v>1</v>
      </c>
      <c r="L12" s="3" t="s">
        <v>71</v>
      </c>
      <c r="M12" s="17">
        <v>0</v>
      </c>
      <c r="N12" s="18" t="s">
        <v>47</v>
      </c>
      <c r="O12" s="15">
        <v>94.7</v>
      </c>
      <c r="P12" s="16">
        <v>96.2</v>
      </c>
      <c r="Q12" s="4">
        <v>3</v>
      </c>
      <c r="R12" s="3">
        <v>0</v>
      </c>
      <c r="S12" s="17" t="s">
        <v>71</v>
      </c>
      <c r="T12" s="18" t="s">
        <v>57</v>
      </c>
      <c r="U12" s="15">
        <v>94.8</v>
      </c>
      <c r="V12" s="16">
        <v>96.2</v>
      </c>
      <c r="W12" s="4">
        <v>3</v>
      </c>
      <c r="X12" s="3">
        <v>0</v>
      </c>
      <c r="Y12" s="17" t="s">
        <v>72</v>
      </c>
      <c r="Z12" s="18" t="s">
        <v>57</v>
      </c>
      <c r="AE12" s="15">
        <v>91.6</v>
      </c>
      <c r="AF12" s="15">
        <v>91.6</v>
      </c>
      <c r="AG12" s="16">
        <v>100.3</v>
      </c>
      <c r="AH12" s="16">
        <v>118.1</v>
      </c>
    </row>
    <row r="13" spans="1:34" ht="23.25" x14ac:dyDescent="0.7">
      <c r="A13" s="2">
        <v>9</v>
      </c>
      <c r="B13" s="1" t="s">
        <v>9</v>
      </c>
      <c r="C13" s="15">
        <v>67.099999999999994</v>
      </c>
      <c r="D13" s="16">
        <v>76.5</v>
      </c>
      <c r="E13" s="4">
        <v>2</v>
      </c>
      <c r="F13" s="3">
        <v>0.9</v>
      </c>
      <c r="G13" s="17">
        <v>0</v>
      </c>
      <c r="H13" s="18" t="s">
        <v>73</v>
      </c>
      <c r="I13" s="15">
        <v>73.3</v>
      </c>
      <c r="J13" s="16">
        <v>76.5</v>
      </c>
      <c r="K13" s="4">
        <v>2</v>
      </c>
      <c r="L13" s="3" t="s">
        <v>74</v>
      </c>
      <c r="M13" s="17" t="s">
        <v>74</v>
      </c>
      <c r="N13" s="18" t="s">
        <v>75</v>
      </c>
      <c r="O13" s="15">
        <v>68.599999999999994</v>
      </c>
      <c r="P13" s="16">
        <v>76.400000000000006</v>
      </c>
      <c r="Q13" s="4">
        <v>3</v>
      </c>
      <c r="R13" s="3">
        <v>0</v>
      </c>
      <c r="S13" s="17" t="s">
        <v>76</v>
      </c>
      <c r="T13" s="18" t="s">
        <v>70</v>
      </c>
      <c r="U13" s="15">
        <v>64.5</v>
      </c>
      <c r="V13" s="16">
        <v>76.400000000000006</v>
      </c>
      <c r="W13" s="4">
        <v>4</v>
      </c>
      <c r="X13" s="3">
        <v>0</v>
      </c>
      <c r="Y13" s="17" t="s">
        <v>76</v>
      </c>
      <c r="Z13" s="18" t="s">
        <v>57</v>
      </c>
      <c r="AE13" s="15">
        <v>96.8</v>
      </c>
      <c r="AF13" s="15">
        <v>92.7</v>
      </c>
      <c r="AG13" s="16">
        <v>104</v>
      </c>
      <c r="AH13" s="16">
        <v>96.5</v>
      </c>
    </row>
    <row r="14" spans="1:34" ht="23.25" x14ac:dyDescent="0.7">
      <c r="A14" s="2">
        <v>10</v>
      </c>
      <c r="B14" s="1" t="s">
        <v>10</v>
      </c>
      <c r="C14" s="15">
        <v>81.099999999999994</v>
      </c>
      <c r="D14" s="16">
        <v>97.3</v>
      </c>
      <c r="E14" s="4">
        <v>4</v>
      </c>
      <c r="F14" s="3">
        <v>3.2</v>
      </c>
      <c r="G14" s="17">
        <v>0</v>
      </c>
      <c r="H14" s="18" t="s">
        <v>77</v>
      </c>
      <c r="I14" s="15">
        <v>93.8</v>
      </c>
      <c r="J14" s="16">
        <v>97.3</v>
      </c>
      <c r="K14" s="4">
        <v>3</v>
      </c>
      <c r="L14" s="3" t="s">
        <v>78</v>
      </c>
      <c r="M14" s="17" t="s">
        <v>79</v>
      </c>
      <c r="N14" s="18" t="s">
        <v>80</v>
      </c>
      <c r="O14" s="15">
        <v>85.8</v>
      </c>
      <c r="P14" s="16">
        <v>92.8</v>
      </c>
      <c r="Q14" s="4">
        <v>5</v>
      </c>
      <c r="R14" s="3" t="s">
        <v>81</v>
      </c>
      <c r="S14" s="17">
        <v>0</v>
      </c>
      <c r="T14" s="18" t="s">
        <v>82</v>
      </c>
      <c r="U14" s="15">
        <v>84.2</v>
      </c>
      <c r="V14" s="16">
        <v>92.4</v>
      </c>
      <c r="W14" s="4">
        <v>5</v>
      </c>
      <c r="X14" s="3" t="s">
        <v>81</v>
      </c>
      <c r="Y14" s="17">
        <v>0</v>
      </c>
      <c r="Z14" s="18" t="s">
        <v>82</v>
      </c>
      <c r="AE14" s="15">
        <v>76.599999999999994</v>
      </c>
      <c r="AF14" s="15">
        <v>78.900000000000006</v>
      </c>
      <c r="AG14" s="16">
        <v>97.5</v>
      </c>
      <c r="AH14" s="16">
        <v>87.1</v>
      </c>
    </row>
    <row r="15" spans="1:34" ht="23.25" x14ac:dyDescent="0.7">
      <c r="A15" s="2">
        <v>11</v>
      </c>
      <c r="B15" s="1" t="s">
        <v>14</v>
      </c>
      <c r="C15" s="15">
        <v>91.6</v>
      </c>
      <c r="D15" s="16">
        <v>100.3</v>
      </c>
      <c r="E15" s="4">
        <v>3</v>
      </c>
      <c r="F15" s="3">
        <v>2</v>
      </c>
      <c r="G15" s="17">
        <v>0</v>
      </c>
      <c r="H15" s="18">
        <v>1</v>
      </c>
      <c r="I15" s="15">
        <v>91.6</v>
      </c>
      <c r="J15" s="16">
        <v>100.3</v>
      </c>
      <c r="K15" s="4">
        <v>3</v>
      </c>
      <c r="L15" s="3">
        <v>2</v>
      </c>
      <c r="M15" s="17">
        <v>0</v>
      </c>
      <c r="N15" s="18">
        <v>1</v>
      </c>
      <c r="O15" s="15">
        <v>91.6</v>
      </c>
      <c r="P15" s="16">
        <v>118.1</v>
      </c>
      <c r="Q15" s="4">
        <v>3</v>
      </c>
      <c r="R15" s="3">
        <v>0</v>
      </c>
      <c r="S15" s="17">
        <v>0</v>
      </c>
      <c r="T15" s="18">
        <v>0.1</v>
      </c>
      <c r="U15" s="15">
        <v>93.2</v>
      </c>
      <c r="V15" s="16">
        <v>118.1</v>
      </c>
      <c r="W15" s="4">
        <v>4</v>
      </c>
      <c r="X15" s="3">
        <v>0</v>
      </c>
      <c r="Y15" s="17" t="s">
        <v>46</v>
      </c>
      <c r="Z15" s="18">
        <v>0.1</v>
      </c>
      <c r="AE15" s="15">
        <v>93.8</v>
      </c>
      <c r="AF15" s="15">
        <v>94.1</v>
      </c>
      <c r="AG15" s="16">
        <v>109.4</v>
      </c>
      <c r="AH15" s="16">
        <v>105.1</v>
      </c>
    </row>
    <row r="16" spans="1:34" ht="23.25" x14ac:dyDescent="0.7">
      <c r="A16" s="2">
        <v>12</v>
      </c>
      <c r="B16" s="1" t="s">
        <v>15</v>
      </c>
      <c r="C16" s="15">
        <v>96.8</v>
      </c>
      <c r="D16" s="16">
        <v>104</v>
      </c>
      <c r="E16" s="4">
        <v>3</v>
      </c>
      <c r="F16" s="3">
        <v>2.4</v>
      </c>
      <c r="G16" s="17">
        <v>3.4</v>
      </c>
      <c r="H16" s="18">
        <v>1.2</v>
      </c>
      <c r="I16" s="15">
        <v>100.6</v>
      </c>
      <c r="J16" s="16">
        <v>104</v>
      </c>
      <c r="K16" s="4">
        <v>2</v>
      </c>
      <c r="L16" s="3">
        <v>2.4</v>
      </c>
      <c r="M16" s="17">
        <v>0.5</v>
      </c>
      <c r="N16" s="18">
        <v>4</v>
      </c>
      <c r="O16" s="15">
        <v>92.7</v>
      </c>
      <c r="P16" s="16">
        <v>96.5</v>
      </c>
      <c r="Q16" s="4">
        <v>3</v>
      </c>
      <c r="R16" s="3">
        <v>0</v>
      </c>
      <c r="S16" s="17">
        <v>0</v>
      </c>
      <c r="T16" s="18">
        <v>0.1</v>
      </c>
      <c r="U16" s="15">
        <v>96.5</v>
      </c>
      <c r="V16" s="16">
        <v>96.5</v>
      </c>
      <c r="W16" s="4">
        <v>2</v>
      </c>
      <c r="X16" s="3">
        <v>0</v>
      </c>
      <c r="Y16" s="17">
        <v>0</v>
      </c>
      <c r="Z16" s="18">
        <v>0.1</v>
      </c>
      <c r="AE16" s="15">
        <v>81.7</v>
      </c>
      <c r="AF16" s="15">
        <v>85.8</v>
      </c>
      <c r="AG16" s="16">
        <v>83.7</v>
      </c>
      <c r="AH16" s="16">
        <v>102.3</v>
      </c>
    </row>
    <row r="17" spans="1:38" ht="23.25" x14ac:dyDescent="0.7">
      <c r="A17" s="2">
        <v>13</v>
      </c>
      <c r="B17" s="1" t="s">
        <v>16</v>
      </c>
      <c r="C17" s="15">
        <v>76.599999999999994</v>
      </c>
      <c r="D17" s="16">
        <v>97.5</v>
      </c>
      <c r="E17" s="4">
        <v>5</v>
      </c>
      <c r="F17" s="3">
        <v>0</v>
      </c>
      <c r="G17" s="17">
        <v>5.0999999999999996</v>
      </c>
      <c r="H17" s="18">
        <v>127.5</v>
      </c>
      <c r="I17" s="15">
        <v>73.8</v>
      </c>
      <c r="J17" s="16">
        <v>97.5</v>
      </c>
      <c r="K17" s="4">
        <v>4</v>
      </c>
      <c r="L17" s="3">
        <v>0</v>
      </c>
      <c r="M17" s="17">
        <v>6.4</v>
      </c>
      <c r="N17" s="18">
        <v>69.3</v>
      </c>
      <c r="O17" s="15">
        <v>78.900000000000006</v>
      </c>
      <c r="P17" s="16">
        <v>87.1</v>
      </c>
      <c r="Q17" s="4">
        <v>3</v>
      </c>
      <c r="R17" s="3">
        <v>8</v>
      </c>
      <c r="S17" s="17">
        <v>0.4</v>
      </c>
      <c r="T17" s="18">
        <v>43.1</v>
      </c>
      <c r="U17" s="15">
        <v>78.900000000000006</v>
      </c>
      <c r="V17" s="16">
        <v>87.1</v>
      </c>
      <c r="W17" s="4">
        <v>3</v>
      </c>
      <c r="X17" s="3">
        <v>8</v>
      </c>
      <c r="Y17" s="17">
        <v>0.4</v>
      </c>
      <c r="Z17" s="18">
        <v>36.799999999999997</v>
      </c>
      <c r="AE17" s="15">
        <v>87.2</v>
      </c>
      <c r="AF17" s="15">
        <v>94.8</v>
      </c>
      <c r="AG17" s="16">
        <v>100.4</v>
      </c>
      <c r="AH17" s="16">
        <v>99.8</v>
      </c>
    </row>
    <row r="18" spans="1:38" ht="23.25" x14ac:dyDescent="0.7">
      <c r="A18" s="2">
        <v>14</v>
      </c>
      <c r="B18" s="1" t="s">
        <v>17</v>
      </c>
      <c r="C18" s="15">
        <v>93.8</v>
      </c>
      <c r="D18" s="16">
        <v>109.4</v>
      </c>
      <c r="E18" s="4">
        <v>3</v>
      </c>
      <c r="F18" s="3">
        <v>0</v>
      </c>
      <c r="G18" s="17">
        <v>1.4</v>
      </c>
      <c r="H18" s="18">
        <v>16.899999999999999</v>
      </c>
      <c r="I18" s="15">
        <v>87.8</v>
      </c>
      <c r="J18" s="16">
        <v>109.4</v>
      </c>
      <c r="K18" s="4">
        <v>3</v>
      </c>
      <c r="L18" s="3">
        <v>0</v>
      </c>
      <c r="M18" s="17">
        <v>1.1000000000000001</v>
      </c>
      <c r="N18" s="18">
        <v>30.6</v>
      </c>
      <c r="O18" s="15">
        <v>94.1</v>
      </c>
      <c r="P18" s="16">
        <v>105.1</v>
      </c>
      <c r="Q18" s="4">
        <v>3</v>
      </c>
      <c r="R18" s="3">
        <v>5.0999999999999996</v>
      </c>
      <c r="S18" s="17">
        <v>0</v>
      </c>
      <c r="T18" s="18">
        <v>60.3</v>
      </c>
      <c r="U18" s="15">
        <v>99.7</v>
      </c>
      <c r="V18" s="16">
        <v>105.1</v>
      </c>
      <c r="W18" s="4">
        <v>2</v>
      </c>
      <c r="X18" s="3">
        <v>13</v>
      </c>
      <c r="Y18" s="17">
        <v>2.2999999999999998</v>
      </c>
      <c r="Z18" s="18">
        <v>20.3</v>
      </c>
      <c r="AE18" s="15">
        <v>81.400000000000006</v>
      </c>
      <c r="AF18" s="15">
        <v>83.2</v>
      </c>
      <c r="AG18" s="16">
        <v>93.2</v>
      </c>
      <c r="AH18" s="16">
        <v>90.7</v>
      </c>
    </row>
    <row r="19" spans="1:38" ht="23.25" x14ac:dyDescent="0.7">
      <c r="A19" s="2">
        <v>15</v>
      </c>
      <c r="B19" s="1" t="s">
        <v>18</v>
      </c>
      <c r="C19" s="15">
        <v>81.7</v>
      </c>
      <c r="D19" s="16">
        <v>83.7</v>
      </c>
      <c r="E19" s="4">
        <v>4</v>
      </c>
      <c r="F19" s="3">
        <v>2.6</v>
      </c>
      <c r="G19" s="17">
        <v>1.1000000000000001</v>
      </c>
      <c r="H19" s="18">
        <v>38.4</v>
      </c>
      <c r="I19" s="15">
        <v>81.7</v>
      </c>
      <c r="J19" s="16">
        <v>83.7</v>
      </c>
      <c r="K19" s="4">
        <v>4</v>
      </c>
      <c r="L19" s="3">
        <v>2.6</v>
      </c>
      <c r="M19" s="17">
        <v>1.1000000000000001</v>
      </c>
      <c r="N19" s="18">
        <v>22.7</v>
      </c>
      <c r="O19" s="15">
        <v>85.8</v>
      </c>
      <c r="P19" s="16">
        <v>102.3</v>
      </c>
      <c r="Q19" s="4">
        <v>5</v>
      </c>
      <c r="R19" s="3">
        <v>5.8</v>
      </c>
      <c r="S19" s="17">
        <v>1.1000000000000001</v>
      </c>
      <c r="T19" s="18">
        <v>6.4</v>
      </c>
      <c r="U19" s="15">
        <v>85.8</v>
      </c>
      <c r="V19" s="16">
        <v>102.3</v>
      </c>
      <c r="W19" s="4">
        <v>5</v>
      </c>
      <c r="X19" s="3">
        <v>5.8</v>
      </c>
      <c r="Y19" s="17">
        <v>1.1000000000000001</v>
      </c>
      <c r="Z19" s="18">
        <v>24.6</v>
      </c>
      <c r="AE19" s="15">
        <v>82.1</v>
      </c>
      <c r="AF19" s="15">
        <v>75.7</v>
      </c>
      <c r="AG19" s="16">
        <v>99.7</v>
      </c>
      <c r="AH19" s="16">
        <v>87.5</v>
      </c>
      <c r="AL19" t="s">
        <v>135</v>
      </c>
    </row>
    <row r="20" spans="1:38" ht="23.25" x14ac:dyDescent="0.7">
      <c r="A20" s="2">
        <v>16</v>
      </c>
      <c r="B20" s="1" t="s">
        <v>19</v>
      </c>
      <c r="C20" s="15">
        <v>87.2</v>
      </c>
      <c r="D20" s="16">
        <v>100.4</v>
      </c>
      <c r="E20" s="4">
        <v>2</v>
      </c>
      <c r="F20" s="3">
        <v>0</v>
      </c>
      <c r="G20" s="17">
        <v>0</v>
      </c>
      <c r="H20" s="18">
        <v>29.7</v>
      </c>
      <c r="I20" s="15">
        <v>85.2</v>
      </c>
      <c r="J20" s="16">
        <v>100.4</v>
      </c>
      <c r="K20" s="4">
        <v>3</v>
      </c>
      <c r="L20" s="3">
        <v>0</v>
      </c>
      <c r="M20" s="17">
        <v>0.4</v>
      </c>
      <c r="N20" s="18">
        <v>1.6</v>
      </c>
      <c r="O20" s="15">
        <v>94.8</v>
      </c>
      <c r="P20" s="16">
        <v>99.8</v>
      </c>
      <c r="Q20" s="4">
        <v>3</v>
      </c>
      <c r="R20" s="3">
        <v>6.1</v>
      </c>
      <c r="S20" s="17">
        <v>6.7</v>
      </c>
      <c r="T20" s="18">
        <v>7.3</v>
      </c>
      <c r="U20" s="15">
        <v>97.2</v>
      </c>
      <c r="V20" s="16">
        <v>99.8</v>
      </c>
      <c r="W20" s="4">
        <v>2</v>
      </c>
      <c r="X20" s="3">
        <v>17.2</v>
      </c>
      <c r="Y20" s="17">
        <v>0</v>
      </c>
      <c r="Z20" s="18">
        <v>23.4</v>
      </c>
      <c r="AE20" s="15">
        <v>87.9</v>
      </c>
      <c r="AF20" s="15">
        <v>91.1</v>
      </c>
      <c r="AG20" s="16">
        <v>92.1</v>
      </c>
      <c r="AH20" s="16">
        <v>109.2</v>
      </c>
    </row>
    <row r="21" spans="1:38" ht="23.25" x14ac:dyDescent="0.7">
      <c r="A21" s="2">
        <v>17</v>
      </c>
      <c r="B21" s="1" t="s">
        <v>20</v>
      </c>
      <c r="C21" s="15">
        <v>81.400000000000006</v>
      </c>
      <c r="D21" s="16">
        <v>93.2</v>
      </c>
      <c r="E21" s="4">
        <v>3</v>
      </c>
      <c r="F21" s="3">
        <v>1.4</v>
      </c>
      <c r="G21" s="17">
        <v>1.1000000000000001</v>
      </c>
      <c r="H21" s="18">
        <v>210.7</v>
      </c>
      <c r="I21" s="15">
        <v>84.7</v>
      </c>
      <c r="J21" s="16">
        <v>93.2</v>
      </c>
      <c r="K21" s="4">
        <v>3</v>
      </c>
      <c r="L21" s="3">
        <v>1.4</v>
      </c>
      <c r="M21" s="17">
        <v>1.1000000000000001</v>
      </c>
      <c r="N21" s="18">
        <v>173.4</v>
      </c>
      <c r="O21" s="15">
        <v>83.2</v>
      </c>
      <c r="P21" s="16">
        <v>90.7</v>
      </c>
      <c r="Q21" s="4">
        <v>3</v>
      </c>
      <c r="R21" s="3">
        <v>3.6</v>
      </c>
      <c r="S21" s="17">
        <v>1.1000000000000001</v>
      </c>
      <c r="T21" s="18">
        <v>49.6</v>
      </c>
      <c r="U21" s="15">
        <v>90.7</v>
      </c>
      <c r="V21" s="16">
        <v>90.7</v>
      </c>
      <c r="W21" s="4">
        <v>2</v>
      </c>
      <c r="X21" s="3">
        <v>3.6</v>
      </c>
      <c r="Y21" s="17">
        <v>0</v>
      </c>
      <c r="Z21" s="18">
        <v>133.69999999999999</v>
      </c>
      <c r="AE21" s="15">
        <v>100.9</v>
      </c>
      <c r="AF21" s="15">
        <v>103.3</v>
      </c>
      <c r="AG21" s="16">
        <v>111.6</v>
      </c>
      <c r="AH21" s="16">
        <v>108.3</v>
      </c>
    </row>
    <row r="22" spans="1:38" ht="23.25" x14ac:dyDescent="0.7">
      <c r="A22" s="2">
        <v>18</v>
      </c>
      <c r="B22" s="1" t="s">
        <v>21</v>
      </c>
      <c r="C22" s="15">
        <v>82.1</v>
      </c>
      <c r="D22" s="16">
        <v>99.7</v>
      </c>
      <c r="E22" s="4">
        <v>4</v>
      </c>
      <c r="F22" s="3">
        <v>4.5</v>
      </c>
      <c r="G22" s="17">
        <v>1.8</v>
      </c>
      <c r="H22" s="18">
        <v>31.3</v>
      </c>
      <c r="I22" s="15">
        <v>85.1</v>
      </c>
      <c r="J22" s="16">
        <v>99.7</v>
      </c>
      <c r="K22" s="4">
        <v>4</v>
      </c>
      <c r="L22" s="3">
        <v>4.5</v>
      </c>
      <c r="M22" s="17">
        <v>4.8</v>
      </c>
      <c r="N22" s="18">
        <v>39.5</v>
      </c>
      <c r="O22" s="15">
        <v>75.7</v>
      </c>
      <c r="P22" s="16">
        <v>87.5</v>
      </c>
      <c r="Q22" s="4">
        <v>4</v>
      </c>
      <c r="R22" s="3">
        <v>4.3</v>
      </c>
      <c r="S22" s="17">
        <v>0.5</v>
      </c>
      <c r="T22" s="18">
        <v>12.9</v>
      </c>
      <c r="U22" s="15">
        <v>79.099999999999994</v>
      </c>
      <c r="V22" s="16">
        <v>87.5</v>
      </c>
      <c r="W22" s="4">
        <v>3</v>
      </c>
      <c r="X22" s="3">
        <v>4.3</v>
      </c>
      <c r="Y22" s="17">
        <v>0</v>
      </c>
      <c r="Z22" s="18">
        <v>27.3</v>
      </c>
      <c r="AE22" s="15">
        <v>92.3</v>
      </c>
      <c r="AF22" s="15">
        <v>85.6</v>
      </c>
      <c r="AG22" s="16">
        <v>115.6</v>
      </c>
      <c r="AH22" s="16">
        <v>101.9</v>
      </c>
    </row>
    <row r="23" spans="1:38" ht="23.25" x14ac:dyDescent="0.7">
      <c r="A23" s="2">
        <v>19</v>
      </c>
      <c r="B23" s="1" t="s">
        <v>22</v>
      </c>
      <c r="C23" s="15">
        <v>87.9</v>
      </c>
      <c r="D23" s="16">
        <v>92.1</v>
      </c>
      <c r="E23" s="4">
        <v>4</v>
      </c>
      <c r="F23" s="3">
        <v>2.9</v>
      </c>
      <c r="G23" s="17">
        <v>0.8</v>
      </c>
      <c r="H23" s="18">
        <v>16.399999999999999</v>
      </c>
      <c r="I23" s="15">
        <v>87.9</v>
      </c>
      <c r="J23" s="16">
        <v>92.1</v>
      </c>
      <c r="K23" s="4">
        <v>4</v>
      </c>
      <c r="L23" s="3">
        <v>2.9</v>
      </c>
      <c r="M23" s="17">
        <v>0.8</v>
      </c>
      <c r="N23" s="18">
        <v>12.9</v>
      </c>
      <c r="O23" s="15">
        <v>91.1</v>
      </c>
      <c r="P23" s="16">
        <v>109.2</v>
      </c>
      <c r="Q23" s="4">
        <v>4</v>
      </c>
      <c r="R23" s="3">
        <v>1.7</v>
      </c>
      <c r="S23" s="17">
        <v>1.1000000000000001</v>
      </c>
      <c r="T23" s="18">
        <v>9.5</v>
      </c>
      <c r="U23" s="15">
        <v>94.7</v>
      </c>
      <c r="V23" s="16">
        <v>109.2</v>
      </c>
      <c r="W23" s="4">
        <v>4</v>
      </c>
      <c r="X23" s="3">
        <v>1.7</v>
      </c>
      <c r="Y23" s="17">
        <v>1</v>
      </c>
      <c r="Z23" s="18">
        <v>10</v>
      </c>
      <c r="AE23" s="15">
        <v>83.5</v>
      </c>
      <c r="AF23" s="15">
        <v>82.8</v>
      </c>
      <c r="AG23" s="16">
        <v>89.4</v>
      </c>
      <c r="AH23" s="16">
        <v>88.3</v>
      </c>
    </row>
    <row r="24" spans="1:38" ht="23.25" x14ac:dyDescent="0.7">
      <c r="A24" s="2">
        <v>20</v>
      </c>
      <c r="B24" s="1" t="s">
        <v>23</v>
      </c>
      <c r="C24" s="15">
        <v>100.9</v>
      </c>
      <c r="D24" s="16">
        <v>111.6</v>
      </c>
      <c r="E24" s="4">
        <v>4</v>
      </c>
      <c r="F24" s="3">
        <v>1.3</v>
      </c>
      <c r="G24" s="17">
        <v>0.6</v>
      </c>
      <c r="H24" s="18">
        <v>100.4</v>
      </c>
      <c r="I24" s="15">
        <v>101.2</v>
      </c>
      <c r="J24" s="16">
        <v>111.6</v>
      </c>
      <c r="K24" s="4">
        <v>3</v>
      </c>
      <c r="L24" s="3">
        <v>1.3</v>
      </c>
      <c r="M24" s="17">
        <v>6</v>
      </c>
      <c r="N24" s="18">
        <v>29.9</v>
      </c>
      <c r="O24" s="15">
        <v>103.3</v>
      </c>
      <c r="P24" s="16">
        <v>108.3</v>
      </c>
      <c r="Q24" s="4">
        <v>4</v>
      </c>
      <c r="R24" s="3">
        <v>9</v>
      </c>
      <c r="S24" s="17">
        <v>0</v>
      </c>
      <c r="T24" s="18">
        <v>38.299999999999997</v>
      </c>
      <c r="U24" s="15">
        <v>104.8</v>
      </c>
      <c r="V24" s="16">
        <v>108.3</v>
      </c>
      <c r="W24" s="4">
        <v>4</v>
      </c>
      <c r="X24" s="3">
        <v>9</v>
      </c>
      <c r="Y24" s="17">
        <v>1.5</v>
      </c>
      <c r="Z24" s="18">
        <v>18.899999999999999</v>
      </c>
      <c r="AE24" s="15">
        <v>89.2</v>
      </c>
      <c r="AF24" s="15">
        <v>84.8</v>
      </c>
      <c r="AG24" s="16">
        <v>93.9</v>
      </c>
      <c r="AH24" s="16">
        <v>95.9</v>
      </c>
    </row>
    <row r="25" spans="1:38" ht="23.25" x14ac:dyDescent="0.7">
      <c r="AE25" s="15">
        <v>98.5</v>
      </c>
      <c r="AF25" s="15">
        <v>101.6</v>
      </c>
      <c r="AG25" s="16">
        <v>101</v>
      </c>
      <c r="AH25" s="16">
        <v>101.6</v>
      </c>
    </row>
    <row r="26" spans="1:38" ht="23.25" x14ac:dyDescent="0.7">
      <c r="AE26" s="15">
        <v>83</v>
      </c>
      <c r="AF26" s="15">
        <v>81.7</v>
      </c>
      <c r="AG26" s="16">
        <v>96.3</v>
      </c>
      <c r="AH26" s="16">
        <v>98.5</v>
      </c>
    </row>
    <row r="27" spans="1:38" ht="23.25" x14ac:dyDescent="0.7">
      <c r="AE27" s="15">
        <v>74.400000000000006</v>
      </c>
      <c r="AF27" s="15">
        <v>80</v>
      </c>
      <c r="AG27" s="16">
        <v>77</v>
      </c>
      <c r="AH27" s="16">
        <v>80</v>
      </c>
    </row>
    <row r="28" spans="1:38" ht="23.25" x14ac:dyDescent="0.7">
      <c r="AE28" s="15">
        <v>96.8</v>
      </c>
      <c r="AF28" s="15">
        <v>91</v>
      </c>
      <c r="AG28" s="16">
        <v>117.3</v>
      </c>
      <c r="AH28" s="16">
        <v>104.4</v>
      </c>
    </row>
    <row r="29" spans="1:38" ht="23.25" x14ac:dyDescent="0.7">
      <c r="AE29" s="15">
        <v>102.4</v>
      </c>
      <c r="AF29" s="15">
        <v>94.8</v>
      </c>
      <c r="AG29" s="16">
        <v>102.4</v>
      </c>
      <c r="AH29" s="16">
        <v>96.2</v>
      </c>
    </row>
    <row r="30" spans="1:38" ht="23.25" x14ac:dyDescent="0.7">
      <c r="AE30" s="15">
        <v>73.3</v>
      </c>
      <c r="AF30" s="15">
        <v>64.5</v>
      </c>
      <c r="AG30" s="16">
        <v>76.5</v>
      </c>
      <c r="AH30" s="16">
        <v>76.400000000000006</v>
      </c>
    </row>
    <row r="31" spans="1:38" ht="23.25" x14ac:dyDescent="0.7">
      <c r="AE31" s="15">
        <v>93.8</v>
      </c>
      <c r="AF31" s="15">
        <v>84.2</v>
      </c>
      <c r="AG31" s="16">
        <v>97.3</v>
      </c>
      <c r="AH31" s="16">
        <v>92.4</v>
      </c>
    </row>
    <row r="32" spans="1:38" ht="23.25" x14ac:dyDescent="0.7">
      <c r="AE32" s="15">
        <v>91.6</v>
      </c>
      <c r="AF32" s="15">
        <v>93.2</v>
      </c>
      <c r="AG32" s="16">
        <v>100.3</v>
      </c>
      <c r="AH32" s="16">
        <v>118.1</v>
      </c>
    </row>
    <row r="33" spans="31:34" ht="23.25" x14ac:dyDescent="0.7">
      <c r="AE33" s="15">
        <v>100.6</v>
      </c>
      <c r="AF33" s="15">
        <v>96.5</v>
      </c>
      <c r="AG33" s="16">
        <v>104</v>
      </c>
      <c r="AH33" s="16">
        <v>96.5</v>
      </c>
    </row>
    <row r="34" spans="31:34" ht="23.25" x14ac:dyDescent="0.7">
      <c r="AE34" s="15">
        <v>73.8</v>
      </c>
      <c r="AF34" s="15">
        <v>78.900000000000006</v>
      </c>
      <c r="AG34" s="16">
        <v>97.5</v>
      </c>
      <c r="AH34" s="16">
        <v>87.1</v>
      </c>
    </row>
    <row r="35" spans="31:34" ht="23.25" x14ac:dyDescent="0.7">
      <c r="AE35" s="15">
        <v>87.8</v>
      </c>
      <c r="AF35" s="15">
        <v>99.7</v>
      </c>
      <c r="AG35" s="16">
        <v>109.4</v>
      </c>
      <c r="AH35" s="16">
        <v>105.1</v>
      </c>
    </row>
    <row r="36" spans="31:34" ht="23.25" x14ac:dyDescent="0.7">
      <c r="AE36" s="15">
        <v>81.7</v>
      </c>
      <c r="AF36" s="15">
        <v>85.8</v>
      </c>
      <c r="AG36" s="16">
        <v>83.7</v>
      </c>
      <c r="AH36" s="16">
        <v>102.3</v>
      </c>
    </row>
    <row r="37" spans="31:34" ht="23.25" x14ac:dyDescent="0.7">
      <c r="AE37" s="15">
        <v>85.2</v>
      </c>
      <c r="AF37" s="15">
        <v>97.2</v>
      </c>
      <c r="AG37" s="16">
        <v>100.4</v>
      </c>
      <c r="AH37" s="16">
        <v>99.8</v>
      </c>
    </row>
    <row r="38" spans="31:34" ht="23.25" x14ac:dyDescent="0.7">
      <c r="AE38" s="15">
        <v>84.7</v>
      </c>
      <c r="AF38" s="15">
        <v>90.7</v>
      </c>
      <c r="AG38" s="16">
        <v>93.2</v>
      </c>
      <c r="AH38" s="16">
        <v>90.7</v>
      </c>
    </row>
    <row r="39" spans="31:34" ht="23.25" x14ac:dyDescent="0.7">
      <c r="AE39" s="15">
        <v>85.1</v>
      </c>
      <c r="AF39" s="15">
        <v>79.099999999999994</v>
      </c>
      <c r="AG39" s="16">
        <v>99.7</v>
      </c>
      <c r="AH39" s="16">
        <v>87.5</v>
      </c>
    </row>
    <row r="40" spans="31:34" ht="23.25" x14ac:dyDescent="0.7">
      <c r="AE40" s="15">
        <v>87.9</v>
      </c>
      <c r="AF40" s="15">
        <v>94.7</v>
      </c>
      <c r="AG40" s="16">
        <v>92.1</v>
      </c>
      <c r="AH40" s="16">
        <v>109.2</v>
      </c>
    </row>
    <row r="41" spans="31:34" ht="23.25" x14ac:dyDescent="0.7">
      <c r="AE41" s="15">
        <v>101.2</v>
      </c>
      <c r="AF41" s="15">
        <v>104.8</v>
      </c>
      <c r="AG41" s="16">
        <v>111.6</v>
      </c>
      <c r="AH41" s="16">
        <v>108.3</v>
      </c>
    </row>
  </sheetData>
  <mergeCells count="9">
    <mergeCell ref="A1:B4"/>
    <mergeCell ref="C1:N1"/>
    <mergeCell ref="O1:Z1"/>
    <mergeCell ref="C2:N2"/>
    <mergeCell ref="O2:Z2"/>
    <mergeCell ref="C3:H3"/>
    <mergeCell ref="I3:N3"/>
    <mergeCell ref="O3:T3"/>
    <mergeCell ref="U3:Z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7CE2-E0D4-44F3-BD60-1868008B5B86}">
  <dimension ref="A1:AE201"/>
  <sheetViews>
    <sheetView tabSelected="1" zoomScale="40" zoomScaleNormal="40" workbookViewId="0">
      <selection activeCell="T36" sqref="T36"/>
    </sheetView>
  </sheetViews>
  <sheetFormatPr defaultRowHeight="14.25" x14ac:dyDescent="0.45"/>
  <cols>
    <col min="2" max="2" width="34.3984375" bestFit="1" customWidth="1"/>
    <col min="3" max="18" width="15.1328125" customWidth="1"/>
    <col min="26" max="26" width="22.3984375" bestFit="1" customWidth="1"/>
    <col min="27" max="27" width="22.3984375" customWidth="1"/>
    <col min="28" max="28" width="23.59765625" bestFit="1" customWidth="1"/>
    <col min="29" max="29" width="26.59765625" bestFit="1" customWidth="1"/>
    <col min="30" max="31" width="11.265625" customWidth="1"/>
  </cols>
  <sheetData>
    <row r="1" spans="1:31" ht="23.25" x14ac:dyDescent="0.7">
      <c r="A1" s="58" t="s">
        <v>87</v>
      </c>
      <c r="B1" s="61" t="s">
        <v>88</v>
      </c>
      <c r="C1" s="64" t="s">
        <v>89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Z1" s="25" t="s">
        <v>83</v>
      </c>
      <c r="AA1" s="25" t="s">
        <v>85</v>
      </c>
      <c r="AB1" s="25" t="s">
        <v>84</v>
      </c>
      <c r="AC1" s="25" t="s">
        <v>86</v>
      </c>
    </row>
    <row r="2" spans="1:31" ht="23.25" x14ac:dyDescent="0.7">
      <c r="A2" s="59"/>
      <c r="B2" s="62"/>
      <c r="C2" s="66" t="s">
        <v>11</v>
      </c>
      <c r="D2" s="67"/>
      <c r="E2" s="67"/>
      <c r="F2" s="67"/>
      <c r="G2" s="67"/>
      <c r="H2" s="67"/>
      <c r="I2" s="67"/>
      <c r="J2" s="68"/>
      <c r="K2" s="69" t="s">
        <v>12</v>
      </c>
      <c r="L2" s="70"/>
      <c r="M2" s="70"/>
      <c r="N2" s="70"/>
      <c r="O2" s="70"/>
      <c r="P2" s="70"/>
      <c r="Q2" s="70"/>
      <c r="R2" s="70"/>
      <c r="Z2" s="15">
        <v>90.3</v>
      </c>
      <c r="AA2" s="15">
        <v>90.4</v>
      </c>
      <c r="AB2" s="24">
        <v>109.8</v>
      </c>
      <c r="AC2" s="24">
        <v>96</v>
      </c>
    </row>
    <row r="3" spans="1:31" ht="23.25" x14ac:dyDescent="0.7">
      <c r="A3" s="59"/>
      <c r="B3" s="62"/>
      <c r="C3" s="71" t="s">
        <v>13</v>
      </c>
      <c r="D3" s="72"/>
      <c r="E3" s="72"/>
      <c r="F3" s="73"/>
      <c r="G3" s="74" t="s">
        <v>0</v>
      </c>
      <c r="H3" s="75"/>
      <c r="I3" s="75"/>
      <c r="J3" s="76"/>
      <c r="K3" s="71" t="s">
        <v>13</v>
      </c>
      <c r="L3" s="72"/>
      <c r="M3" s="72"/>
      <c r="N3" s="73"/>
      <c r="O3" s="74" t="s">
        <v>0</v>
      </c>
      <c r="P3" s="75"/>
      <c r="Q3" s="75"/>
      <c r="R3" s="76"/>
      <c r="Z3" s="15">
        <v>88.9</v>
      </c>
      <c r="AA3" s="15">
        <v>88.7</v>
      </c>
      <c r="AB3" s="24">
        <v>109.8</v>
      </c>
      <c r="AC3" s="24">
        <v>96</v>
      </c>
    </row>
    <row r="4" spans="1:31" ht="69.75" customHeight="1" x14ac:dyDescent="0.7">
      <c r="A4" s="60"/>
      <c r="B4" s="63"/>
      <c r="C4" s="8" t="s">
        <v>26</v>
      </c>
      <c r="D4" s="23" t="s">
        <v>90</v>
      </c>
      <c r="E4" s="10" t="s">
        <v>28</v>
      </c>
      <c r="F4" s="13" t="s">
        <v>91</v>
      </c>
      <c r="G4" s="14" t="s">
        <v>26</v>
      </c>
      <c r="H4" s="23" t="s">
        <v>90</v>
      </c>
      <c r="I4" s="10" t="s">
        <v>28</v>
      </c>
      <c r="J4" s="13" t="s">
        <v>91</v>
      </c>
      <c r="K4" s="8" t="s">
        <v>26</v>
      </c>
      <c r="L4" s="23" t="s">
        <v>90</v>
      </c>
      <c r="M4" s="10" t="s">
        <v>28</v>
      </c>
      <c r="N4" s="13" t="s">
        <v>91</v>
      </c>
      <c r="O4" s="14" t="s">
        <v>26</v>
      </c>
      <c r="P4" s="23" t="s">
        <v>90</v>
      </c>
      <c r="Q4" s="10" t="s">
        <v>28</v>
      </c>
      <c r="R4" s="13" t="s">
        <v>91</v>
      </c>
      <c r="Z4" s="15">
        <v>92.4</v>
      </c>
      <c r="AA4" s="15">
        <v>90.9</v>
      </c>
      <c r="AB4" s="24">
        <v>109.8</v>
      </c>
      <c r="AC4" s="24">
        <v>96</v>
      </c>
    </row>
    <row r="5" spans="1:31" ht="23.25" x14ac:dyDescent="0.7">
      <c r="A5" s="21" t="s">
        <v>92</v>
      </c>
      <c r="B5" s="1" t="s">
        <v>1</v>
      </c>
      <c r="C5" s="15">
        <v>90.3</v>
      </c>
      <c r="D5" s="24">
        <v>109.8</v>
      </c>
      <c r="E5" s="4">
        <v>4</v>
      </c>
      <c r="F5" s="18">
        <v>0.1</v>
      </c>
      <c r="G5" s="15">
        <v>96.7</v>
      </c>
      <c r="H5" s="24">
        <v>109.8</v>
      </c>
      <c r="I5" s="4">
        <v>3</v>
      </c>
      <c r="J5" s="18">
        <v>0.1</v>
      </c>
      <c r="K5" s="15">
        <v>90.4</v>
      </c>
      <c r="L5" s="24">
        <v>96</v>
      </c>
      <c r="M5" s="4">
        <v>3</v>
      </c>
      <c r="N5" s="18">
        <v>0.01</v>
      </c>
      <c r="O5" s="15">
        <v>90.9</v>
      </c>
      <c r="P5" s="24">
        <v>96</v>
      </c>
      <c r="Q5" s="4">
        <v>3</v>
      </c>
      <c r="R5" s="18">
        <v>0.02</v>
      </c>
      <c r="Z5" s="15">
        <v>93.6</v>
      </c>
      <c r="AA5" s="15">
        <v>92.6</v>
      </c>
      <c r="AB5" s="24">
        <v>109.8</v>
      </c>
      <c r="AC5" s="24">
        <v>96</v>
      </c>
    </row>
    <row r="6" spans="1:31" ht="23.25" x14ac:dyDescent="0.7">
      <c r="A6" s="21" t="s">
        <v>93</v>
      </c>
      <c r="B6" s="1" t="s">
        <v>1</v>
      </c>
      <c r="C6" s="15">
        <v>88.9</v>
      </c>
      <c r="D6" s="24">
        <v>109.8</v>
      </c>
      <c r="E6" s="4">
        <v>4</v>
      </c>
      <c r="F6" s="18">
        <v>0.1</v>
      </c>
      <c r="G6" s="15">
        <v>97.9</v>
      </c>
      <c r="H6" s="24">
        <v>109.8</v>
      </c>
      <c r="I6" s="4">
        <v>3</v>
      </c>
      <c r="J6" s="18">
        <v>0.1</v>
      </c>
      <c r="K6" s="15">
        <v>88.7</v>
      </c>
      <c r="L6" s="24">
        <v>96</v>
      </c>
      <c r="M6" s="4">
        <v>4</v>
      </c>
      <c r="N6" s="18">
        <v>0.01</v>
      </c>
      <c r="O6" s="15">
        <v>90.3</v>
      </c>
      <c r="P6" s="24">
        <v>96</v>
      </c>
      <c r="Q6" s="4">
        <v>3</v>
      </c>
      <c r="R6" s="18">
        <v>0.02</v>
      </c>
      <c r="Z6" s="15">
        <v>89.7</v>
      </c>
      <c r="AA6" s="15">
        <v>92.1</v>
      </c>
      <c r="AB6" s="24">
        <v>109.6</v>
      </c>
      <c r="AC6" s="24">
        <v>96</v>
      </c>
    </row>
    <row r="7" spans="1:31" ht="23.25" x14ac:dyDescent="0.7">
      <c r="A7" s="21" t="s">
        <v>94</v>
      </c>
      <c r="B7" s="1" t="s">
        <v>1</v>
      </c>
      <c r="C7" s="15">
        <v>92.4</v>
      </c>
      <c r="D7" s="24">
        <v>109.8</v>
      </c>
      <c r="E7" s="4">
        <v>3</v>
      </c>
      <c r="F7" s="18">
        <v>0.1</v>
      </c>
      <c r="G7" s="15">
        <v>98.8</v>
      </c>
      <c r="H7" s="24">
        <v>109.8</v>
      </c>
      <c r="I7" s="4">
        <v>3</v>
      </c>
      <c r="J7" s="18">
        <v>0.1</v>
      </c>
      <c r="K7" s="15">
        <v>90.9</v>
      </c>
      <c r="L7" s="24">
        <v>96</v>
      </c>
      <c r="M7" s="4">
        <v>3</v>
      </c>
      <c r="N7" s="18">
        <v>0.01</v>
      </c>
      <c r="O7" s="15">
        <v>92.1</v>
      </c>
      <c r="P7" s="24">
        <v>96</v>
      </c>
      <c r="Q7" s="4">
        <v>3</v>
      </c>
      <c r="R7" s="18">
        <v>0.01</v>
      </c>
      <c r="Z7" s="15">
        <v>77.599999999999994</v>
      </c>
      <c r="AA7" s="15">
        <v>85.7</v>
      </c>
      <c r="AB7" s="24">
        <v>97.3</v>
      </c>
      <c r="AC7" s="24">
        <v>90.6</v>
      </c>
    </row>
    <row r="8" spans="1:31" ht="23.25" x14ac:dyDescent="0.7">
      <c r="A8" s="21" t="s">
        <v>95</v>
      </c>
      <c r="B8" s="1" t="s">
        <v>1</v>
      </c>
      <c r="C8" s="15">
        <v>93.6</v>
      </c>
      <c r="D8" s="24">
        <v>109.8</v>
      </c>
      <c r="E8" s="4">
        <v>3</v>
      </c>
      <c r="F8" s="18">
        <v>0.1</v>
      </c>
      <c r="G8" s="15">
        <v>91.2</v>
      </c>
      <c r="H8" s="24">
        <v>109.8</v>
      </c>
      <c r="I8" s="4">
        <v>3</v>
      </c>
      <c r="J8" s="18">
        <v>0.1</v>
      </c>
      <c r="K8" s="15">
        <v>92.6</v>
      </c>
      <c r="L8" s="24">
        <v>96</v>
      </c>
      <c r="M8" s="4">
        <v>3</v>
      </c>
      <c r="N8" s="18">
        <v>0.01</v>
      </c>
      <c r="O8" s="15">
        <v>93.1</v>
      </c>
      <c r="P8" s="24">
        <v>96</v>
      </c>
      <c r="Q8" s="4">
        <v>3</v>
      </c>
      <c r="R8" s="18">
        <v>0.01</v>
      </c>
      <c r="Z8" s="15">
        <v>85.6</v>
      </c>
      <c r="AA8" s="15">
        <v>84.4</v>
      </c>
      <c r="AB8" s="24">
        <v>90.8</v>
      </c>
      <c r="AC8" s="24">
        <v>85.2</v>
      </c>
    </row>
    <row r="9" spans="1:31" ht="23.25" x14ac:dyDescent="0.7">
      <c r="A9" s="21" t="s">
        <v>96</v>
      </c>
      <c r="B9" s="1" t="s">
        <v>1</v>
      </c>
      <c r="C9" s="15">
        <v>89.7</v>
      </c>
      <c r="D9" s="24">
        <v>109.6</v>
      </c>
      <c r="E9" s="4">
        <v>4</v>
      </c>
      <c r="F9" s="18">
        <v>0.1</v>
      </c>
      <c r="G9" s="15">
        <v>95.8</v>
      </c>
      <c r="H9" s="24">
        <v>109.8</v>
      </c>
      <c r="I9" s="4">
        <v>3</v>
      </c>
      <c r="J9" s="18">
        <v>0.1</v>
      </c>
      <c r="K9" s="15">
        <v>92.1</v>
      </c>
      <c r="L9" s="24">
        <v>96</v>
      </c>
      <c r="M9" s="4">
        <v>3</v>
      </c>
      <c r="N9" s="18">
        <v>0.01</v>
      </c>
      <c r="O9" s="15">
        <v>94.1</v>
      </c>
      <c r="P9" s="24">
        <v>96</v>
      </c>
      <c r="Q9" s="4">
        <v>3</v>
      </c>
      <c r="R9" s="18">
        <v>0.01</v>
      </c>
      <c r="Z9" s="15">
        <v>84.5</v>
      </c>
      <c r="AA9" s="15">
        <v>83.4</v>
      </c>
      <c r="AB9" s="24">
        <v>90.8</v>
      </c>
      <c r="AC9" s="24">
        <v>85.2</v>
      </c>
    </row>
    <row r="10" spans="1:31" ht="23.25" x14ac:dyDescent="0.7">
      <c r="A10" s="22" t="s">
        <v>92</v>
      </c>
      <c r="B10" s="5" t="s">
        <v>2</v>
      </c>
      <c r="C10" s="15">
        <v>77.599999999999994</v>
      </c>
      <c r="D10" s="24">
        <v>97.3</v>
      </c>
      <c r="E10" s="4">
        <v>4</v>
      </c>
      <c r="F10" s="18">
        <v>0.1</v>
      </c>
      <c r="G10" s="15">
        <v>77.599999999999994</v>
      </c>
      <c r="H10" s="24">
        <v>97.3</v>
      </c>
      <c r="I10" s="4">
        <v>4</v>
      </c>
      <c r="J10" s="18">
        <v>0.1</v>
      </c>
      <c r="K10" s="15">
        <v>85.7</v>
      </c>
      <c r="L10" s="24">
        <v>90.6</v>
      </c>
      <c r="M10" s="4">
        <v>4</v>
      </c>
      <c r="N10" s="18">
        <v>0.01</v>
      </c>
      <c r="O10" s="15">
        <v>84.7</v>
      </c>
      <c r="P10" s="24">
        <v>90.6</v>
      </c>
      <c r="Q10" s="4">
        <v>4</v>
      </c>
      <c r="R10" s="18">
        <v>0.02</v>
      </c>
      <c r="Z10" s="15">
        <v>78.7</v>
      </c>
      <c r="AA10" s="15">
        <v>84.9</v>
      </c>
      <c r="AB10" s="24">
        <v>97.3</v>
      </c>
      <c r="AC10" s="24">
        <v>90.6</v>
      </c>
    </row>
    <row r="11" spans="1:31" ht="23.25" x14ac:dyDescent="0.7">
      <c r="A11" s="22" t="s">
        <v>93</v>
      </c>
      <c r="B11" s="5" t="s">
        <v>2</v>
      </c>
      <c r="C11" s="15">
        <v>85.6</v>
      </c>
      <c r="D11" s="24">
        <v>90.8</v>
      </c>
      <c r="E11" s="4">
        <v>5</v>
      </c>
      <c r="F11" s="18">
        <v>0.01</v>
      </c>
      <c r="G11" s="15">
        <v>83.1</v>
      </c>
      <c r="H11" s="24">
        <v>90.8</v>
      </c>
      <c r="I11" s="4">
        <v>4</v>
      </c>
      <c r="J11" s="18">
        <v>0.1</v>
      </c>
      <c r="K11" s="15">
        <v>84.4</v>
      </c>
      <c r="L11" s="24">
        <v>85.2</v>
      </c>
      <c r="M11" s="4">
        <v>4</v>
      </c>
      <c r="N11" s="18">
        <v>0.01</v>
      </c>
      <c r="O11" s="15">
        <v>84.4</v>
      </c>
      <c r="P11" s="24">
        <v>85.2</v>
      </c>
      <c r="Q11" s="4">
        <v>4</v>
      </c>
      <c r="R11" s="18">
        <v>0.01</v>
      </c>
      <c r="Z11" s="15">
        <v>73.5</v>
      </c>
      <c r="AA11" s="15">
        <v>83.5</v>
      </c>
      <c r="AB11" s="24">
        <v>85.2</v>
      </c>
      <c r="AC11" s="24">
        <v>83.5</v>
      </c>
    </row>
    <row r="12" spans="1:31" ht="23.25" x14ac:dyDescent="0.7">
      <c r="A12" s="22" t="s">
        <v>94</v>
      </c>
      <c r="B12" s="5" t="s">
        <v>2</v>
      </c>
      <c r="C12" s="15">
        <v>84.5</v>
      </c>
      <c r="D12" s="24">
        <v>90.8</v>
      </c>
      <c r="E12" s="4">
        <v>5</v>
      </c>
      <c r="F12" s="18">
        <v>0.02</v>
      </c>
      <c r="G12" s="15">
        <v>82.1</v>
      </c>
      <c r="H12" s="24">
        <v>90.8</v>
      </c>
      <c r="I12" s="4">
        <v>4</v>
      </c>
      <c r="J12" s="18">
        <v>0.1</v>
      </c>
      <c r="K12" s="15">
        <v>83.4</v>
      </c>
      <c r="L12" s="24">
        <v>85.2</v>
      </c>
      <c r="M12" s="4">
        <v>4</v>
      </c>
      <c r="N12" s="18">
        <v>0.01</v>
      </c>
      <c r="O12" s="15">
        <v>83.6</v>
      </c>
      <c r="P12" s="24">
        <v>85.2</v>
      </c>
      <c r="Q12" s="4">
        <v>4</v>
      </c>
      <c r="R12" s="18">
        <v>0.01</v>
      </c>
      <c r="Z12" s="15">
        <v>78.900000000000006</v>
      </c>
      <c r="AA12" s="15">
        <v>87.4</v>
      </c>
      <c r="AB12" s="24">
        <v>97.2</v>
      </c>
      <c r="AC12" s="24">
        <v>91.4</v>
      </c>
    </row>
    <row r="13" spans="1:31" ht="23.25" x14ac:dyDescent="0.7">
      <c r="A13" s="22" t="s">
        <v>95</v>
      </c>
      <c r="B13" s="5" t="s">
        <v>2</v>
      </c>
      <c r="C13" s="15">
        <v>78.7</v>
      </c>
      <c r="D13" s="24">
        <v>97.3</v>
      </c>
      <c r="E13" s="4">
        <v>4</v>
      </c>
      <c r="F13" s="18">
        <v>0.1</v>
      </c>
      <c r="G13" s="15">
        <v>79.599999999999994</v>
      </c>
      <c r="H13" s="24">
        <v>97.3</v>
      </c>
      <c r="I13" s="4">
        <v>4</v>
      </c>
      <c r="J13" s="18">
        <v>0.1</v>
      </c>
      <c r="K13" s="15">
        <v>84.9</v>
      </c>
      <c r="L13" s="24">
        <v>90.6</v>
      </c>
      <c r="M13" s="4">
        <v>5</v>
      </c>
      <c r="N13" s="18">
        <v>0.01</v>
      </c>
      <c r="O13" s="15">
        <v>85.4</v>
      </c>
      <c r="P13" s="24">
        <v>90.6</v>
      </c>
      <c r="Q13" s="4">
        <v>4</v>
      </c>
      <c r="R13" s="18">
        <v>0.01</v>
      </c>
      <c r="Z13" s="15">
        <v>80.5</v>
      </c>
      <c r="AA13" s="15">
        <v>86.9</v>
      </c>
      <c r="AB13" s="24">
        <v>97.2</v>
      </c>
      <c r="AC13" s="24">
        <v>91.4</v>
      </c>
    </row>
    <row r="14" spans="1:31" ht="23.25" x14ac:dyDescent="0.7">
      <c r="A14" s="22" t="s">
        <v>96</v>
      </c>
      <c r="B14" s="5" t="s">
        <v>2</v>
      </c>
      <c r="C14" s="15">
        <v>73.5</v>
      </c>
      <c r="D14" s="24">
        <v>85.2</v>
      </c>
      <c r="E14" s="4">
        <v>4</v>
      </c>
      <c r="F14" s="18">
        <v>0.1</v>
      </c>
      <c r="G14" s="15">
        <v>78.099999999999994</v>
      </c>
      <c r="H14" s="24">
        <v>85.2</v>
      </c>
      <c r="I14" s="4">
        <v>2</v>
      </c>
      <c r="J14" s="18">
        <v>0.1</v>
      </c>
      <c r="K14" s="15">
        <v>83.5</v>
      </c>
      <c r="L14" s="24">
        <v>83.5</v>
      </c>
      <c r="M14" s="4">
        <v>2</v>
      </c>
      <c r="N14" s="18">
        <v>0.01</v>
      </c>
      <c r="O14" s="15">
        <v>83.5</v>
      </c>
      <c r="P14" s="24">
        <v>83.5</v>
      </c>
      <c r="Q14" s="4">
        <v>2</v>
      </c>
      <c r="R14" s="18">
        <v>0.01</v>
      </c>
      <c r="Z14" s="15">
        <v>79.3</v>
      </c>
      <c r="AA14" s="15">
        <v>88.3</v>
      </c>
      <c r="AB14" s="24">
        <v>97.2</v>
      </c>
      <c r="AC14" s="24">
        <v>91.4</v>
      </c>
      <c r="AE14" t="s">
        <v>136</v>
      </c>
    </row>
    <row r="15" spans="1:31" ht="23.25" x14ac:dyDescent="0.7">
      <c r="A15" s="21" t="s">
        <v>92</v>
      </c>
      <c r="B15" s="19" t="s">
        <v>3</v>
      </c>
      <c r="C15" s="15">
        <v>78.900000000000006</v>
      </c>
      <c r="D15" s="24">
        <v>97.2</v>
      </c>
      <c r="E15" s="4">
        <v>5</v>
      </c>
      <c r="F15" s="18">
        <v>0.1</v>
      </c>
      <c r="G15" s="15">
        <v>86.6</v>
      </c>
      <c r="H15" s="24">
        <v>97.2</v>
      </c>
      <c r="I15" s="4">
        <v>5</v>
      </c>
      <c r="J15" s="18">
        <v>0.2</v>
      </c>
      <c r="K15" s="15">
        <v>87.4</v>
      </c>
      <c r="L15" s="24">
        <v>91.4</v>
      </c>
      <c r="M15" s="4">
        <v>5</v>
      </c>
      <c r="N15" s="18">
        <v>0.2</v>
      </c>
      <c r="O15" s="15">
        <v>81.599999999999994</v>
      </c>
      <c r="P15" s="24">
        <v>91.4</v>
      </c>
      <c r="Q15" s="4">
        <v>4</v>
      </c>
      <c r="R15" s="18">
        <v>0.01</v>
      </c>
      <c r="Z15" s="15">
        <v>79.7</v>
      </c>
      <c r="AA15" s="15">
        <v>87.1</v>
      </c>
      <c r="AB15" s="24">
        <v>97.2</v>
      </c>
      <c r="AC15" s="24">
        <v>91.4</v>
      </c>
    </row>
    <row r="16" spans="1:31" ht="23.25" x14ac:dyDescent="0.7">
      <c r="A16" s="21" t="s">
        <v>93</v>
      </c>
      <c r="B16" s="19" t="s">
        <v>3</v>
      </c>
      <c r="C16" s="15">
        <v>80.5</v>
      </c>
      <c r="D16" s="24">
        <v>97.2</v>
      </c>
      <c r="E16" s="4">
        <v>5</v>
      </c>
      <c r="F16" s="18">
        <v>0.1</v>
      </c>
      <c r="G16" s="15">
        <v>89</v>
      </c>
      <c r="H16" s="24">
        <v>97.2</v>
      </c>
      <c r="I16" s="4">
        <v>5</v>
      </c>
      <c r="J16" s="18">
        <v>0.2</v>
      </c>
      <c r="K16" s="15">
        <v>86.9</v>
      </c>
      <c r="L16" s="24">
        <v>91.4</v>
      </c>
      <c r="M16" s="4">
        <v>3</v>
      </c>
      <c r="N16" s="18">
        <v>0.02</v>
      </c>
      <c r="O16" s="15">
        <v>82.8</v>
      </c>
      <c r="P16" s="24">
        <v>91.4</v>
      </c>
      <c r="Q16" s="4">
        <v>4</v>
      </c>
      <c r="R16" s="18">
        <v>0.01</v>
      </c>
      <c r="Z16" s="15">
        <v>80.099999999999994</v>
      </c>
      <c r="AA16" s="15">
        <v>88.9</v>
      </c>
      <c r="AB16" s="24">
        <v>97.2</v>
      </c>
      <c r="AC16" s="24">
        <v>91.4</v>
      </c>
    </row>
    <row r="17" spans="1:29" ht="23.25" x14ac:dyDescent="0.7">
      <c r="A17" s="21" t="s">
        <v>94</v>
      </c>
      <c r="B17" s="19" t="s">
        <v>3</v>
      </c>
      <c r="C17" s="15">
        <v>79.3</v>
      </c>
      <c r="D17" s="24">
        <v>97.2</v>
      </c>
      <c r="E17" s="4">
        <v>5</v>
      </c>
      <c r="F17" s="18">
        <v>0.1</v>
      </c>
      <c r="G17" s="15">
        <v>87.4</v>
      </c>
      <c r="H17" s="24">
        <v>97.2</v>
      </c>
      <c r="I17" s="4">
        <v>5</v>
      </c>
      <c r="J17" s="18">
        <v>0.2</v>
      </c>
      <c r="K17" s="15">
        <v>88.3</v>
      </c>
      <c r="L17" s="24">
        <v>91.4</v>
      </c>
      <c r="M17" s="4">
        <v>3</v>
      </c>
      <c r="N17" s="18">
        <v>0.01</v>
      </c>
      <c r="O17" s="15">
        <v>81.3</v>
      </c>
      <c r="P17" s="24">
        <v>91.4</v>
      </c>
      <c r="Q17" s="4">
        <v>4</v>
      </c>
      <c r="R17" s="18">
        <v>0.01</v>
      </c>
      <c r="Z17" s="15">
        <v>96.3</v>
      </c>
      <c r="AA17" s="15">
        <v>99.8</v>
      </c>
      <c r="AB17" s="24">
        <v>119</v>
      </c>
      <c r="AC17" s="24">
        <v>119</v>
      </c>
    </row>
    <row r="18" spans="1:29" ht="23.25" x14ac:dyDescent="0.7">
      <c r="A18" s="21" t="s">
        <v>95</v>
      </c>
      <c r="B18" s="19" t="s">
        <v>3</v>
      </c>
      <c r="C18" s="15">
        <v>79.7</v>
      </c>
      <c r="D18" s="24">
        <v>97.2</v>
      </c>
      <c r="E18" s="4">
        <v>5</v>
      </c>
      <c r="F18" s="18">
        <v>0.1</v>
      </c>
      <c r="G18" s="15">
        <v>88.2</v>
      </c>
      <c r="H18" s="24">
        <v>97.2</v>
      </c>
      <c r="I18" s="4">
        <v>5</v>
      </c>
      <c r="J18" s="18">
        <v>0.2</v>
      </c>
      <c r="K18" s="15">
        <v>87.1</v>
      </c>
      <c r="L18" s="24">
        <v>91.4</v>
      </c>
      <c r="M18" s="4">
        <v>3</v>
      </c>
      <c r="N18" s="18">
        <v>0.01</v>
      </c>
      <c r="O18" s="15">
        <v>82.1</v>
      </c>
      <c r="P18" s="24">
        <v>91.4</v>
      </c>
      <c r="Q18" s="4">
        <v>4</v>
      </c>
      <c r="R18" s="18">
        <v>0.01</v>
      </c>
      <c r="Z18" s="15">
        <v>97.3</v>
      </c>
      <c r="AA18" s="15">
        <v>101.6</v>
      </c>
      <c r="AB18" s="24">
        <v>119</v>
      </c>
      <c r="AC18" s="24">
        <v>119</v>
      </c>
    </row>
    <row r="19" spans="1:29" ht="23.25" x14ac:dyDescent="0.7">
      <c r="A19" s="21" t="s">
        <v>96</v>
      </c>
      <c r="B19" s="19" t="s">
        <v>3</v>
      </c>
      <c r="C19" s="15">
        <v>80.099999999999994</v>
      </c>
      <c r="D19" s="24">
        <v>97.2</v>
      </c>
      <c r="E19" s="4">
        <v>5</v>
      </c>
      <c r="F19" s="18">
        <v>0.1</v>
      </c>
      <c r="G19" s="15">
        <v>87.8</v>
      </c>
      <c r="H19" s="24">
        <v>97.2</v>
      </c>
      <c r="I19" s="4">
        <v>5</v>
      </c>
      <c r="J19" s="18">
        <v>0.2</v>
      </c>
      <c r="K19" s="15">
        <v>88.9</v>
      </c>
      <c r="L19" s="24">
        <v>91.4</v>
      </c>
      <c r="M19" s="4">
        <v>3</v>
      </c>
      <c r="N19" s="18">
        <v>0.01</v>
      </c>
      <c r="O19" s="15">
        <v>83.2</v>
      </c>
      <c r="P19" s="24">
        <v>91.4</v>
      </c>
      <c r="Q19" s="4">
        <v>4</v>
      </c>
      <c r="R19" s="18">
        <v>0.01</v>
      </c>
      <c r="Z19" s="15">
        <v>95.9</v>
      </c>
      <c r="AA19" s="15">
        <v>102.8</v>
      </c>
      <c r="AB19" s="24">
        <v>119</v>
      </c>
      <c r="AC19" s="24">
        <v>119</v>
      </c>
    </row>
    <row r="20" spans="1:29" ht="23.25" x14ac:dyDescent="0.7">
      <c r="A20" s="22" t="s">
        <v>92</v>
      </c>
      <c r="B20" s="20" t="s">
        <v>4</v>
      </c>
      <c r="C20" s="15">
        <v>96.3</v>
      </c>
      <c r="D20" s="24">
        <v>119</v>
      </c>
      <c r="E20" s="4">
        <v>3</v>
      </c>
      <c r="F20" s="18">
        <v>0.1</v>
      </c>
      <c r="G20" s="15">
        <v>99.3</v>
      </c>
      <c r="H20" s="24">
        <v>119</v>
      </c>
      <c r="I20" s="4">
        <v>2</v>
      </c>
      <c r="J20" s="18">
        <v>0.1</v>
      </c>
      <c r="K20" s="15">
        <v>99.8</v>
      </c>
      <c r="L20" s="24">
        <v>119</v>
      </c>
      <c r="M20" s="4">
        <v>3</v>
      </c>
      <c r="N20" s="18">
        <v>0.01</v>
      </c>
      <c r="O20" s="15">
        <v>107.8</v>
      </c>
      <c r="P20" s="24">
        <v>119</v>
      </c>
      <c r="Q20" s="4">
        <v>1</v>
      </c>
      <c r="R20" s="18">
        <v>0.01</v>
      </c>
      <c r="Z20" s="15">
        <v>97.7</v>
      </c>
      <c r="AA20" s="15">
        <v>100.8</v>
      </c>
      <c r="AB20" s="24">
        <v>119</v>
      </c>
      <c r="AC20" s="24">
        <v>119</v>
      </c>
    </row>
    <row r="21" spans="1:29" ht="23.25" x14ac:dyDescent="0.7">
      <c r="A21" s="22" t="s">
        <v>93</v>
      </c>
      <c r="B21" s="20" t="s">
        <v>4</v>
      </c>
      <c r="C21" s="15">
        <v>97.3</v>
      </c>
      <c r="D21" s="24">
        <v>119</v>
      </c>
      <c r="E21" s="4">
        <v>3</v>
      </c>
      <c r="F21" s="18">
        <v>0.1</v>
      </c>
      <c r="G21" s="15">
        <v>100.9</v>
      </c>
      <c r="H21" s="24">
        <v>119</v>
      </c>
      <c r="I21" s="4">
        <v>2</v>
      </c>
      <c r="J21" s="18">
        <v>0.1</v>
      </c>
      <c r="K21" s="15">
        <v>101.6</v>
      </c>
      <c r="L21" s="24">
        <v>119</v>
      </c>
      <c r="M21" s="4">
        <v>2</v>
      </c>
      <c r="N21" s="18">
        <v>0.01</v>
      </c>
      <c r="O21" s="15">
        <v>106.8</v>
      </c>
      <c r="P21" s="24">
        <v>119</v>
      </c>
      <c r="Q21" s="4">
        <v>1</v>
      </c>
      <c r="R21" s="18">
        <v>0.01</v>
      </c>
      <c r="Z21" s="15">
        <v>96.8</v>
      </c>
      <c r="AA21" s="15">
        <v>100.4</v>
      </c>
      <c r="AB21" s="24">
        <v>119</v>
      </c>
      <c r="AC21" s="24">
        <v>119</v>
      </c>
    </row>
    <row r="22" spans="1:29" ht="23.25" x14ac:dyDescent="0.7">
      <c r="A22" s="22" t="s">
        <v>94</v>
      </c>
      <c r="B22" s="20" t="s">
        <v>4</v>
      </c>
      <c r="C22" s="15">
        <v>95.9</v>
      </c>
      <c r="D22" s="24">
        <v>119</v>
      </c>
      <c r="E22" s="4">
        <v>3</v>
      </c>
      <c r="F22" s="18">
        <v>0.1</v>
      </c>
      <c r="G22" s="15">
        <v>102.6</v>
      </c>
      <c r="H22" s="24">
        <v>119</v>
      </c>
      <c r="I22" s="4">
        <v>2</v>
      </c>
      <c r="J22" s="18">
        <v>0.1</v>
      </c>
      <c r="K22" s="15">
        <v>102.8</v>
      </c>
      <c r="L22" s="24">
        <v>119</v>
      </c>
      <c r="M22" s="4">
        <v>2</v>
      </c>
      <c r="N22" s="18">
        <v>0.01</v>
      </c>
      <c r="O22" s="15">
        <v>105.5</v>
      </c>
      <c r="P22" s="24">
        <v>119</v>
      </c>
      <c r="Q22" s="4">
        <v>1</v>
      </c>
      <c r="R22" s="18">
        <v>0.01</v>
      </c>
      <c r="Z22" s="15">
        <v>76.400000000000006</v>
      </c>
      <c r="AA22" s="15">
        <v>80.599999999999994</v>
      </c>
      <c r="AB22" s="24">
        <v>88.9</v>
      </c>
      <c r="AC22" s="24">
        <v>87.1</v>
      </c>
    </row>
    <row r="23" spans="1:29" ht="23.25" x14ac:dyDescent="0.7">
      <c r="A23" s="22" t="s">
        <v>95</v>
      </c>
      <c r="B23" s="20" t="s">
        <v>4</v>
      </c>
      <c r="C23" s="15">
        <v>97.7</v>
      </c>
      <c r="D23" s="24">
        <v>119</v>
      </c>
      <c r="E23" s="4">
        <v>3</v>
      </c>
      <c r="F23" s="18">
        <v>0.1</v>
      </c>
      <c r="G23" s="15">
        <v>100.5</v>
      </c>
      <c r="H23" s="24">
        <v>119</v>
      </c>
      <c r="I23" s="4">
        <v>2</v>
      </c>
      <c r="J23" s="18">
        <v>0.1</v>
      </c>
      <c r="K23" s="15">
        <v>100.8</v>
      </c>
      <c r="L23" s="24">
        <v>119</v>
      </c>
      <c r="M23" s="4">
        <v>2</v>
      </c>
      <c r="N23" s="18">
        <v>0.01</v>
      </c>
      <c r="O23" s="15">
        <v>103.9</v>
      </c>
      <c r="P23" s="24">
        <v>119</v>
      </c>
      <c r="Q23" s="4">
        <v>1</v>
      </c>
      <c r="R23" s="18">
        <v>0.01</v>
      </c>
      <c r="Z23" s="15">
        <v>70.400000000000006</v>
      </c>
      <c r="AA23" s="15">
        <v>76.400000000000006</v>
      </c>
      <c r="AB23" s="24">
        <v>88.9</v>
      </c>
      <c r="AC23" s="24">
        <v>87.1</v>
      </c>
    </row>
    <row r="24" spans="1:29" ht="23.25" x14ac:dyDescent="0.7">
      <c r="A24" s="22" t="s">
        <v>96</v>
      </c>
      <c r="B24" s="20" t="s">
        <v>4</v>
      </c>
      <c r="C24" s="15">
        <v>96.8</v>
      </c>
      <c r="D24" s="24">
        <v>119</v>
      </c>
      <c r="E24" s="4">
        <v>3</v>
      </c>
      <c r="F24" s="18">
        <v>0.1</v>
      </c>
      <c r="G24" s="15">
        <v>101.2</v>
      </c>
      <c r="H24" s="24">
        <v>119</v>
      </c>
      <c r="I24" s="4">
        <v>2</v>
      </c>
      <c r="J24" s="18">
        <v>0.1</v>
      </c>
      <c r="K24" s="15">
        <v>100.4</v>
      </c>
      <c r="L24" s="24">
        <v>119</v>
      </c>
      <c r="M24" s="4">
        <v>2</v>
      </c>
      <c r="N24" s="18">
        <v>0.01</v>
      </c>
      <c r="O24" s="15">
        <v>106</v>
      </c>
      <c r="P24" s="24">
        <v>119</v>
      </c>
      <c r="Q24" s="4">
        <v>1</v>
      </c>
      <c r="R24" s="18">
        <v>0.01</v>
      </c>
      <c r="Z24" s="15">
        <v>71.3</v>
      </c>
      <c r="AA24" s="15">
        <v>76.099999999999994</v>
      </c>
      <c r="AB24" s="24">
        <v>88.9</v>
      </c>
      <c r="AC24" s="24">
        <v>87.1</v>
      </c>
    </row>
    <row r="25" spans="1:29" ht="23.25" x14ac:dyDescent="0.7">
      <c r="A25" s="21" t="s">
        <v>92</v>
      </c>
      <c r="B25" s="7" t="s">
        <v>5</v>
      </c>
      <c r="C25" s="15">
        <v>76.400000000000006</v>
      </c>
      <c r="D25" s="24">
        <v>88.9</v>
      </c>
      <c r="E25" s="4">
        <v>4</v>
      </c>
      <c r="F25" s="18">
        <v>0.02</v>
      </c>
      <c r="G25" s="15">
        <v>79.599999999999994</v>
      </c>
      <c r="H25" s="24">
        <v>88.9</v>
      </c>
      <c r="I25" s="4">
        <v>3</v>
      </c>
      <c r="J25" s="18">
        <v>0.1</v>
      </c>
      <c r="K25" s="15">
        <v>80.599999999999994</v>
      </c>
      <c r="L25" s="24">
        <v>87.1</v>
      </c>
      <c r="M25" s="4">
        <v>4</v>
      </c>
      <c r="N25" s="18">
        <v>0.02</v>
      </c>
      <c r="O25" s="15">
        <v>84.3</v>
      </c>
      <c r="P25" s="24">
        <v>87.1</v>
      </c>
      <c r="Q25" s="4">
        <v>3</v>
      </c>
      <c r="R25" s="18">
        <v>0.02</v>
      </c>
      <c r="Z25" s="15">
        <v>72.5</v>
      </c>
      <c r="AA25" s="15">
        <v>74.900000000000006</v>
      </c>
      <c r="AB25" s="24">
        <v>88.9</v>
      </c>
      <c r="AC25" s="24">
        <v>87.1</v>
      </c>
    </row>
    <row r="26" spans="1:29" ht="23.25" x14ac:dyDescent="0.7">
      <c r="A26" s="21" t="s">
        <v>93</v>
      </c>
      <c r="B26" s="7" t="s">
        <v>5</v>
      </c>
      <c r="C26" s="15">
        <v>70.400000000000006</v>
      </c>
      <c r="D26" s="24">
        <v>88.9</v>
      </c>
      <c r="E26" s="4">
        <v>4</v>
      </c>
      <c r="F26" s="18">
        <v>0.02</v>
      </c>
      <c r="G26" s="15">
        <v>75.5</v>
      </c>
      <c r="H26" s="24">
        <v>88.9</v>
      </c>
      <c r="I26" s="4">
        <v>3</v>
      </c>
      <c r="J26" s="18">
        <v>0.01</v>
      </c>
      <c r="K26" s="15">
        <v>76.400000000000006</v>
      </c>
      <c r="L26" s="24">
        <v>87.1</v>
      </c>
      <c r="M26" s="4">
        <v>4</v>
      </c>
      <c r="N26" s="18">
        <v>0.02</v>
      </c>
      <c r="O26" s="15">
        <v>79.3</v>
      </c>
      <c r="P26" s="24">
        <v>87.1</v>
      </c>
      <c r="Q26" s="4">
        <v>3</v>
      </c>
      <c r="R26" s="18">
        <v>0.02</v>
      </c>
      <c r="Z26" s="15">
        <v>76.8</v>
      </c>
      <c r="AA26" s="15">
        <v>77.400000000000006</v>
      </c>
      <c r="AB26" s="24">
        <v>93.9</v>
      </c>
      <c r="AC26" s="24">
        <v>89.5</v>
      </c>
    </row>
    <row r="27" spans="1:29" ht="23.25" x14ac:dyDescent="0.7">
      <c r="A27" s="21" t="s">
        <v>94</v>
      </c>
      <c r="B27" s="7" t="s">
        <v>5</v>
      </c>
      <c r="C27" s="15">
        <v>71.3</v>
      </c>
      <c r="D27" s="24">
        <v>88.9</v>
      </c>
      <c r="E27" s="4">
        <v>4</v>
      </c>
      <c r="F27" s="18">
        <v>0.02</v>
      </c>
      <c r="G27" s="15">
        <v>75.599999999999994</v>
      </c>
      <c r="H27" s="24">
        <v>88.9</v>
      </c>
      <c r="I27" s="4">
        <v>3</v>
      </c>
      <c r="J27" s="18">
        <v>0.01</v>
      </c>
      <c r="K27" s="15">
        <v>76.099999999999994</v>
      </c>
      <c r="L27" s="24">
        <v>87.1</v>
      </c>
      <c r="M27" s="4">
        <v>4</v>
      </c>
      <c r="N27" s="18">
        <v>0.02</v>
      </c>
      <c r="O27" s="15">
        <v>77.8</v>
      </c>
      <c r="P27" s="24">
        <v>87.1</v>
      </c>
      <c r="Q27" s="4">
        <v>3</v>
      </c>
      <c r="R27" s="18">
        <v>0.02</v>
      </c>
      <c r="Z27" s="15">
        <v>72.599999999999994</v>
      </c>
      <c r="AA27" s="15">
        <v>75.3</v>
      </c>
      <c r="AB27" s="24">
        <v>76.3</v>
      </c>
      <c r="AC27" s="24">
        <v>75.3</v>
      </c>
    </row>
    <row r="28" spans="1:29" ht="23.25" x14ac:dyDescent="0.7">
      <c r="A28" s="21" t="s">
        <v>95</v>
      </c>
      <c r="B28" s="7" t="s">
        <v>5</v>
      </c>
      <c r="C28" s="15">
        <v>72.5</v>
      </c>
      <c r="D28" s="24">
        <v>88.9</v>
      </c>
      <c r="E28" s="4">
        <v>4</v>
      </c>
      <c r="F28" s="18">
        <v>0.02</v>
      </c>
      <c r="G28" s="15">
        <v>73.599999999999994</v>
      </c>
      <c r="H28" s="24">
        <v>88.9</v>
      </c>
      <c r="I28" s="4">
        <v>3</v>
      </c>
      <c r="J28" s="18">
        <v>0.03</v>
      </c>
      <c r="K28" s="15">
        <v>74.900000000000006</v>
      </c>
      <c r="L28" s="24">
        <v>87.1</v>
      </c>
      <c r="M28" s="4">
        <v>4</v>
      </c>
      <c r="N28" s="18">
        <v>0.02</v>
      </c>
      <c r="O28" s="15">
        <v>79.8</v>
      </c>
      <c r="P28" s="24">
        <v>87.1</v>
      </c>
      <c r="Q28" s="4">
        <v>3</v>
      </c>
      <c r="R28" s="18">
        <v>0.02</v>
      </c>
      <c r="Z28" s="15">
        <v>74.7</v>
      </c>
      <c r="AA28" s="15">
        <v>75.5</v>
      </c>
      <c r="AB28" s="24">
        <v>76.3</v>
      </c>
      <c r="AC28" s="24">
        <v>75.3</v>
      </c>
    </row>
    <row r="29" spans="1:29" ht="23.25" x14ac:dyDescent="0.7">
      <c r="A29" s="21" t="s">
        <v>96</v>
      </c>
      <c r="B29" s="7" t="s">
        <v>5</v>
      </c>
      <c r="C29" s="15">
        <v>76.8</v>
      </c>
      <c r="D29" s="24">
        <v>93.9</v>
      </c>
      <c r="E29" s="4">
        <v>3</v>
      </c>
      <c r="F29" s="18">
        <v>0.01</v>
      </c>
      <c r="G29" s="15">
        <v>77.3</v>
      </c>
      <c r="H29" s="24">
        <v>93.9</v>
      </c>
      <c r="I29" s="4">
        <v>4</v>
      </c>
      <c r="J29" s="18">
        <v>0.03</v>
      </c>
      <c r="K29" s="15">
        <v>77.400000000000006</v>
      </c>
      <c r="L29" s="24">
        <v>89.5</v>
      </c>
      <c r="M29" s="4">
        <v>4</v>
      </c>
      <c r="N29" s="18">
        <v>0.01</v>
      </c>
      <c r="O29" s="15">
        <v>77.5</v>
      </c>
      <c r="P29" s="24">
        <v>89.5</v>
      </c>
      <c r="Q29" s="4">
        <v>3</v>
      </c>
      <c r="R29" s="18">
        <v>0.01</v>
      </c>
      <c r="Z29" s="15">
        <v>76.599999999999994</v>
      </c>
      <c r="AA29" s="15">
        <v>75.8</v>
      </c>
      <c r="AB29" s="24">
        <v>81.2</v>
      </c>
      <c r="AC29" s="24">
        <v>78.599999999999994</v>
      </c>
    </row>
    <row r="30" spans="1:29" ht="23.25" x14ac:dyDescent="0.7">
      <c r="A30" s="21" t="s">
        <v>92</v>
      </c>
      <c r="B30" s="1" t="s">
        <v>6</v>
      </c>
      <c r="C30" s="15">
        <v>72.599999999999994</v>
      </c>
      <c r="D30" s="24">
        <v>76.3</v>
      </c>
      <c r="E30" s="4">
        <v>1</v>
      </c>
      <c r="F30" s="18">
        <v>0.01</v>
      </c>
      <c r="G30" s="15">
        <v>75.8</v>
      </c>
      <c r="H30" s="24">
        <v>76.3</v>
      </c>
      <c r="I30" s="4">
        <v>0</v>
      </c>
      <c r="J30" s="18">
        <v>0.01</v>
      </c>
      <c r="K30" s="15">
        <v>75.3</v>
      </c>
      <c r="L30" s="24">
        <v>75.3</v>
      </c>
      <c r="M30" s="4">
        <v>1</v>
      </c>
      <c r="N30" s="18">
        <v>0.01</v>
      </c>
      <c r="O30" s="15">
        <v>72.599999999999994</v>
      </c>
      <c r="P30" s="24">
        <v>75.3</v>
      </c>
      <c r="Q30" s="4">
        <v>2</v>
      </c>
      <c r="R30" s="18">
        <v>0.01</v>
      </c>
      <c r="Z30" s="15">
        <v>73.599999999999994</v>
      </c>
      <c r="AA30" s="15">
        <v>74.400000000000006</v>
      </c>
      <c r="AB30" s="24">
        <v>76.3</v>
      </c>
      <c r="AC30" s="24">
        <v>75.3</v>
      </c>
    </row>
    <row r="31" spans="1:29" ht="23.25" x14ac:dyDescent="0.7">
      <c r="A31" s="21" t="s">
        <v>93</v>
      </c>
      <c r="B31" s="1" t="s">
        <v>6</v>
      </c>
      <c r="C31" s="15">
        <v>74.7</v>
      </c>
      <c r="D31" s="24">
        <v>76.3</v>
      </c>
      <c r="E31" s="4">
        <v>1</v>
      </c>
      <c r="F31" s="18">
        <v>0.01</v>
      </c>
      <c r="G31" s="15">
        <v>77.099999999999994</v>
      </c>
      <c r="H31" s="24">
        <v>76.3</v>
      </c>
      <c r="I31" s="4">
        <v>0</v>
      </c>
      <c r="J31" s="18">
        <v>0.01</v>
      </c>
      <c r="K31" s="15">
        <v>75.5</v>
      </c>
      <c r="L31" s="24">
        <v>75.3</v>
      </c>
      <c r="M31" s="4">
        <v>1</v>
      </c>
      <c r="N31" s="18">
        <v>0.01</v>
      </c>
      <c r="O31" s="15">
        <v>73.7</v>
      </c>
      <c r="P31" s="24">
        <v>75.3</v>
      </c>
      <c r="Q31" s="4">
        <v>2</v>
      </c>
      <c r="R31" s="18">
        <v>0.01</v>
      </c>
      <c r="Z31" s="15">
        <v>75.2</v>
      </c>
      <c r="AA31" s="15">
        <v>76.3</v>
      </c>
      <c r="AB31" s="24">
        <v>77.900000000000006</v>
      </c>
      <c r="AC31" s="24">
        <v>76.099999999999994</v>
      </c>
    </row>
    <row r="32" spans="1:29" ht="23.25" x14ac:dyDescent="0.7">
      <c r="A32" s="21" t="s">
        <v>94</v>
      </c>
      <c r="B32" s="1" t="s">
        <v>6</v>
      </c>
      <c r="C32" s="15">
        <v>76.599999999999994</v>
      </c>
      <c r="D32" s="24">
        <v>81.2</v>
      </c>
      <c r="E32" s="4">
        <v>2</v>
      </c>
      <c r="F32" s="18">
        <v>0.02</v>
      </c>
      <c r="G32" s="15">
        <v>78.400000000000006</v>
      </c>
      <c r="H32" s="24">
        <v>81.2</v>
      </c>
      <c r="I32" s="4">
        <v>3</v>
      </c>
      <c r="J32" s="18">
        <v>0.01</v>
      </c>
      <c r="K32" s="15">
        <v>75.8</v>
      </c>
      <c r="L32" s="24">
        <v>78.599999999999994</v>
      </c>
      <c r="M32" s="4">
        <v>3</v>
      </c>
      <c r="N32" s="18">
        <v>0.01</v>
      </c>
      <c r="O32" s="15">
        <v>73.099999999999994</v>
      </c>
      <c r="P32" s="24">
        <v>78.599999999999994</v>
      </c>
      <c r="Q32" s="4">
        <v>3</v>
      </c>
      <c r="R32" s="18">
        <v>0.01</v>
      </c>
      <c r="Z32" s="15">
        <v>82.7</v>
      </c>
      <c r="AA32" s="15">
        <v>97.5</v>
      </c>
      <c r="AB32" s="24">
        <v>101.7</v>
      </c>
      <c r="AC32" s="24">
        <v>105.4</v>
      </c>
    </row>
    <row r="33" spans="1:29" ht="23.25" x14ac:dyDescent="0.7">
      <c r="A33" s="21" t="s">
        <v>95</v>
      </c>
      <c r="B33" s="1" t="s">
        <v>6</v>
      </c>
      <c r="C33" s="15">
        <v>73.599999999999994</v>
      </c>
      <c r="D33" s="24">
        <v>76.3</v>
      </c>
      <c r="E33" s="4">
        <v>1</v>
      </c>
      <c r="F33" s="18">
        <v>0.01</v>
      </c>
      <c r="G33" s="15">
        <v>73.599999999999994</v>
      </c>
      <c r="H33" s="24">
        <v>76.3</v>
      </c>
      <c r="I33" s="4">
        <v>1</v>
      </c>
      <c r="J33" s="18">
        <v>0.01</v>
      </c>
      <c r="K33" s="15">
        <v>74.400000000000006</v>
      </c>
      <c r="L33" s="24">
        <v>75.3</v>
      </c>
      <c r="M33" s="4">
        <v>1</v>
      </c>
      <c r="N33" s="18">
        <v>0.01</v>
      </c>
      <c r="O33" s="15">
        <v>71.599999999999994</v>
      </c>
      <c r="P33" s="24">
        <v>75.3</v>
      </c>
      <c r="Q33" s="4">
        <v>2</v>
      </c>
      <c r="R33" s="18">
        <v>0.01</v>
      </c>
      <c r="Z33" s="15">
        <v>99.7</v>
      </c>
      <c r="AA33" s="15">
        <v>94.2</v>
      </c>
      <c r="AB33" s="24">
        <v>111</v>
      </c>
      <c r="AC33" s="24">
        <v>106.8</v>
      </c>
    </row>
    <row r="34" spans="1:29" ht="23.25" x14ac:dyDescent="0.7">
      <c r="A34" s="21" t="s">
        <v>96</v>
      </c>
      <c r="B34" s="1" t="s">
        <v>6</v>
      </c>
      <c r="C34" s="15">
        <v>75.2</v>
      </c>
      <c r="D34" s="24">
        <v>77.900000000000006</v>
      </c>
      <c r="E34" s="4">
        <v>2</v>
      </c>
      <c r="F34" s="18">
        <v>0.02</v>
      </c>
      <c r="G34" s="15">
        <v>77.900000000000006</v>
      </c>
      <c r="H34" s="24">
        <v>77.900000000000006</v>
      </c>
      <c r="I34" s="4">
        <v>1</v>
      </c>
      <c r="J34" s="18">
        <v>0.01</v>
      </c>
      <c r="K34" s="15">
        <v>76.3</v>
      </c>
      <c r="L34" s="24">
        <v>76.099999999999994</v>
      </c>
      <c r="M34" s="4">
        <v>2</v>
      </c>
      <c r="N34" s="18">
        <v>0.02</v>
      </c>
      <c r="O34" s="15">
        <v>73.5</v>
      </c>
      <c r="P34" s="24">
        <v>76.099999999999994</v>
      </c>
      <c r="Q34" s="4">
        <v>3</v>
      </c>
      <c r="R34" s="18">
        <v>0.01</v>
      </c>
      <c r="Z34" s="15">
        <v>87.8</v>
      </c>
      <c r="AA34" s="15">
        <v>82.9</v>
      </c>
      <c r="AB34" s="24">
        <v>109.6</v>
      </c>
      <c r="AC34" s="24">
        <v>104.7</v>
      </c>
    </row>
    <row r="35" spans="1:29" ht="23.25" x14ac:dyDescent="0.7">
      <c r="A35" s="22" t="s">
        <v>92</v>
      </c>
      <c r="B35" s="5" t="s">
        <v>7</v>
      </c>
      <c r="C35" s="15">
        <v>82.7</v>
      </c>
      <c r="D35" s="24">
        <v>101.7</v>
      </c>
      <c r="E35" s="4">
        <v>4</v>
      </c>
      <c r="F35" s="18">
        <v>0.02</v>
      </c>
      <c r="G35" s="15">
        <v>98.1</v>
      </c>
      <c r="H35" s="24">
        <v>101.7</v>
      </c>
      <c r="I35" s="4">
        <v>2</v>
      </c>
      <c r="J35" s="18">
        <v>0.04</v>
      </c>
      <c r="K35" s="15">
        <v>97.5</v>
      </c>
      <c r="L35" s="24">
        <v>105.4</v>
      </c>
      <c r="M35" s="4">
        <v>3</v>
      </c>
      <c r="N35" s="18">
        <v>0.02</v>
      </c>
      <c r="O35" s="15">
        <v>99.2</v>
      </c>
      <c r="P35" s="24">
        <v>105</v>
      </c>
      <c r="Q35" s="4">
        <v>2</v>
      </c>
      <c r="R35" s="18">
        <v>0.02</v>
      </c>
      <c r="Z35" s="15">
        <v>82.7</v>
      </c>
      <c r="AA35" s="15">
        <v>97.5</v>
      </c>
      <c r="AB35" s="24">
        <v>101.7</v>
      </c>
      <c r="AC35" s="24">
        <v>105.4</v>
      </c>
    </row>
    <row r="36" spans="1:29" ht="23.25" x14ac:dyDescent="0.7">
      <c r="A36" s="22" t="s">
        <v>93</v>
      </c>
      <c r="B36" s="5" t="s">
        <v>7</v>
      </c>
      <c r="C36" s="15">
        <v>99.7</v>
      </c>
      <c r="D36" s="24">
        <v>111</v>
      </c>
      <c r="E36" s="4">
        <v>3</v>
      </c>
      <c r="F36" s="18">
        <v>0.05</v>
      </c>
      <c r="G36" s="15">
        <v>103.1</v>
      </c>
      <c r="H36" s="24">
        <v>111</v>
      </c>
      <c r="I36" s="4">
        <v>3</v>
      </c>
      <c r="J36" s="18">
        <v>0.02</v>
      </c>
      <c r="K36" s="15">
        <v>94.2</v>
      </c>
      <c r="L36" s="24">
        <v>106.8</v>
      </c>
      <c r="M36" s="4">
        <v>2</v>
      </c>
      <c r="N36" s="18">
        <v>0.02</v>
      </c>
      <c r="O36" s="15">
        <v>94.2</v>
      </c>
      <c r="P36" s="24">
        <v>106.8</v>
      </c>
      <c r="Q36" s="4">
        <v>2</v>
      </c>
      <c r="R36" s="18">
        <v>0.01</v>
      </c>
      <c r="Z36" s="15">
        <v>84.9</v>
      </c>
      <c r="AA36" s="15">
        <v>97.5</v>
      </c>
      <c r="AB36" s="24">
        <v>101.7</v>
      </c>
      <c r="AC36" s="24">
        <v>105.4</v>
      </c>
    </row>
    <row r="37" spans="1:29" ht="23.25" x14ac:dyDescent="0.7">
      <c r="A37" s="22" t="s">
        <v>94</v>
      </c>
      <c r="B37" s="5" t="s">
        <v>7</v>
      </c>
      <c r="C37" s="15">
        <v>87.8</v>
      </c>
      <c r="D37" s="24">
        <v>109.6</v>
      </c>
      <c r="E37" s="4">
        <v>4</v>
      </c>
      <c r="F37" s="18">
        <v>0.02</v>
      </c>
      <c r="G37" s="15">
        <v>97.4</v>
      </c>
      <c r="H37" s="24">
        <v>109.6</v>
      </c>
      <c r="I37" s="4">
        <v>4</v>
      </c>
      <c r="J37" s="18">
        <v>0.03</v>
      </c>
      <c r="K37" s="15">
        <v>82.9</v>
      </c>
      <c r="L37" s="24">
        <v>104.7</v>
      </c>
      <c r="M37" s="4">
        <v>4</v>
      </c>
      <c r="N37" s="18">
        <v>0.01</v>
      </c>
      <c r="O37" s="15">
        <v>92.9</v>
      </c>
      <c r="P37" s="24">
        <v>104.7</v>
      </c>
      <c r="Q37" s="4">
        <v>2</v>
      </c>
      <c r="R37" s="18">
        <v>0.02</v>
      </c>
      <c r="Z37" s="15">
        <v>90.7</v>
      </c>
      <c r="AA37" s="15">
        <v>94.1</v>
      </c>
      <c r="AB37" s="24">
        <v>109.5</v>
      </c>
      <c r="AC37" s="24">
        <v>109.5</v>
      </c>
    </row>
    <row r="38" spans="1:29" ht="23.25" x14ac:dyDescent="0.7">
      <c r="A38" s="22" t="s">
        <v>95</v>
      </c>
      <c r="B38" s="5" t="s">
        <v>7</v>
      </c>
      <c r="C38" s="15">
        <v>82.7</v>
      </c>
      <c r="D38" s="24">
        <v>101.7</v>
      </c>
      <c r="E38" s="4">
        <v>4</v>
      </c>
      <c r="F38" s="18">
        <v>0.04</v>
      </c>
      <c r="G38" s="15">
        <v>87.4</v>
      </c>
      <c r="H38" s="24">
        <v>101.7</v>
      </c>
      <c r="I38" s="4">
        <v>3</v>
      </c>
      <c r="J38" s="18">
        <v>0.05</v>
      </c>
      <c r="K38" s="15">
        <v>97.5</v>
      </c>
      <c r="L38" s="24">
        <v>105.4</v>
      </c>
      <c r="M38" s="4">
        <v>3</v>
      </c>
      <c r="N38" s="18">
        <v>0.01</v>
      </c>
      <c r="O38" s="15">
        <v>101</v>
      </c>
      <c r="P38" s="24">
        <v>105</v>
      </c>
      <c r="Q38" s="4">
        <v>2</v>
      </c>
      <c r="R38" s="18">
        <v>0.04</v>
      </c>
      <c r="Z38" s="15">
        <v>90.8</v>
      </c>
      <c r="AA38" s="15">
        <v>98.1</v>
      </c>
      <c r="AB38" s="24">
        <v>96</v>
      </c>
      <c r="AC38" s="24">
        <v>96</v>
      </c>
    </row>
    <row r="39" spans="1:29" ht="23.25" x14ac:dyDescent="0.7">
      <c r="A39" s="22" t="s">
        <v>96</v>
      </c>
      <c r="B39" s="5" t="s">
        <v>7</v>
      </c>
      <c r="C39" s="15">
        <v>84.9</v>
      </c>
      <c r="D39" s="24">
        <v>101.7</v>
      </c>
      <c r="E39" s="4">
        <v>3</v>
      </c>
      <c r="F39" s="18">
        <v>0.05</v>
      </c>
      <c r="G39" s="15">
        <v>99.3</v>
      </c>
      <c r="H39" s="24">
        <v>101.7</v>
      </c>
      <c r="I39" s="4">
        <v>2</v>
      </c>
      <c r="J39" s="18">
        <v>0.02</v>
      </c>
      <c r="K39" s="15">
        <v>97.5</v>
      </c>
      <c r="L39" s="24">
        <v>105.4</v>
      </c>
      <c r="M39" s="4">
        <v>3</v>
      </c>
      <c r="N39" s="18">
        <v>0.01</v>
      </c>
      <c r="O39" s="15">
        <v>102.3</v>
      </c>
      <c r="P39" s="24">
        <v>105</v>
      </c>
      <c r="Q39" s="4">
        <v>2</v>
      </c>
      <c r="R39" s="18">
        <v>0.02</v>
      </c>
      <c r="Z39" s="15">
        <v>90.9</v>
      </c>
      <c r="AA39" s="15">
        <v>95.6</v>
      </c>
      <c r="AB39" s="24">
        <v>102.9</v>
      </c>
      <c r="AC39" s="24">
        <v>102.9</v>
      </c>
    </row>
    <row r="40" spans="1:29" ht="23.25" x14ac:dyDescent="0.7">
      <c r="A40" s="21" t="s">
        <v>92</v>
      </c>
      <c r="B40" s="19" t="s">
        <v>8</v>
      </c>
      <c r="C40" s="15">
        <v>90.7</v>
      </c>
      <c r="D40" s="24">
        <v>109.5</v>
      </c>
      <c r="E40" s="4">
        <v>2</v>
      </c>
      <c r="F40" s="18">
        <v>0.01</v>
      </c>
      <c r="G40" s="15">
        <v>93.8</v>
      </c>
      <c r="H40" s="24">
        <v>109.5</v>
      </c>
      <c r="I40" s="4">
        <v>2</v>
      </c>
      <c r="J40" s="18">
        <v>0.03</v>
      </c>
      <c r="K40" s="15">
        <v>94.1</v>
      </c>
      <c r="L40" s="24">
        <v>109.5</v>
      </c>
      <c r="M40" s="4">
        <v>2</v>
      </c>
      <c r="N40" s="18">
        <v>0.02</v>
      </c>
      <c r="O40" s="15">
        <v>94.7</v>
      </c>
      <c r="P40" s="24">
        <v>109.5</v>
      </c>
      <c r="Q40" s="4">
        <v>2</v>
      </c>
      <c r="R40" s="18">
        <v>0.02</v>
      </c>
      <c r="Z40" s="15">
        <v>89.2</v>
      </c>
      <c r="AA40" s="15">
        <v>94.8</v>
      </c>
      <c r="AB40" s="24">
        <v>98.4</v>
      </c>
      <c r="AC40" s="24">
        <v>99.2</v>
      </c>
    </row>
    <row r="41" spans="1:29" ht="23.25" x14ac:dyDescent="0.7">
      <c r="A41" s="21" t="s">
        <v>93</v>
      </c>
      <c r="B41" s="19" t="s">
        <v>8</v>
      </c>
      <c r="C41" s="15">
        <v>90.8</v>
      </c>
      <c r="D41" s="24">
        <v>96</v>
      </c>
      <c r="E41" s="4">
        <v>2</v>
      </c>
      <c r="F41" s="18">
        <v>0.01</v>
      </c>
      <c r="G41" s="15">
        <v>95.2</v>
      </c>
      <c r="H41" s="24">
        <v>96</v>
      </c>
      <c r="I41" s="4">
        <v>1</v>
      </c>
      <c r="J41" s="18">
        <v>0.01</v>
      </c>
      <c r="K41" s="15">
        <v>98.1</v>
      </c>
      <c r="L41" s="24">
        <v>96</v>
      </c>
      <c r="M41" s="4">
        <v>2</v>
      </c>
      <c r="N41" s="18">
        <v>0.01</v>
      </c>
      <c r="O41" s="15">
        <v>98.3</v>
      </c>
      <c r="P41" s="24">
        <v>96</v>
      </c>
      <c r="Q41" s="4">
        <v>2</v>
      </c>
      <c r="R41" s="18">
        <v>0.01</v>
      </c>
      <c r="Z41" s="15">
        <v>92.5</v>
      </c>
      <c r="AA41" s="15">
        <v>97.4</v>
      </c>
      <c r="AB41" s="24">
        <v>102.9</v>
      </c>
      <c r="AC41" s="24">
        <v>102.9</v>
      </c>
    </row>
    <row r="42" spans="1:29" ht="23.25" x14ac:dyDescent="0.7">
      <c r="A42" s="21" t="s">
        <v>94</v>
      </c>
      <c r="B42" s="19" t="s">
        <v>8</v>
      </c>
      <c r="C42" s="15">
        <v>90.9</v>
      </c>
      <c r="D42" s="24">
        <v>102.9</v>
      </c>
      <c r="E42" s="4">
        <v>2</v>
      </c>
      <c r="F42" s="18">
        <v>0.02</v>
      </c>
      <c r="G42" s="15">
        <v>94.8</v>
      </c>
      <c r="H42" s="24">
        <v>102.9</v>
      </c>
      <c r="I42" s="4">
        <v>2</v>
      </c>
      <c r="J42" s="18">
        <v>0.03</v>
      </c>
      <c r="K42" s="15">
        <v>95.6</v>
      </c>
      <c r="L42" s="24">
        <v>102.9</v>
      </c>
      <c r="M42" s="4">
        <v>2</v>
      </c>
      <c r="N42" s="18">
        <v>0.1</v>
      </c>
      <c r="O42" s="15">
        <v>96.3</v>
      </c>
      <c r="P42" s="24">
        <v>102.9</v>
      </c>
      <c r="Q42" s="4">
        <v>2</v>
      </c>
      <c r="R42" s="18">
        <v>0.01</v>
      </c>
      <c r="Z42" s="15">
        <v>81.5</v>
      </c>
      <c r="AA42" s="15">
        <v>75.5</v>
      </c>
      <c r="AB42" s="24">
        <v>88.5</v>
      </c>
      <c r="AC42" s="24">
        <v>75.5</v>
      </c>
    </row>
    <row r="43" spans="1:29" ht="23.25" x14ac:dyDescent="0.7">
      <c r="A43" s="21" t="s">
        <v>95</v>
      </c>
      <c r="B43" s="19" t="s">
        <v>8</v>
      </c>
      <c r="C43" s="15">
        <v>89.2</v>
      </c>
      <c r="D43" s="24">
        <v>98.4</v>
      </c>
      <c r="E43" s="4">
        <v>2</v>
      </c>
      <c r="F43" s="18">
        <v>0.01</v>
      </c>
      <c r="G43" s="15">
        <v>96.8</v>
      </c>
      <c r="H43" s="24">
        <v>98.4</v>
      </c>
      <c r="I43" s="4">
        <v>1</v>
      </c>
      <c r="J43" s="18">
        <v>0.01</v>
      </c>
      <c r="K43" s="15">
        <v>94.8</v>
      </c>
      <c r="L43" s="24">
        <v>99.2</v>
      </c>
      <c r="M43" s="4">
        <v>2</v>
      </c>
      <c r="N43" s="18">
        <v>0.01</v>
      </c>
      <c r="O43" s="15">
        <v>93.6</v>
      </c>
      <c r="P43" s="24">
        <v>96</v>
      </c>
      <c r="Q43" s="4">
        <v>2</v>
      </c>
      <c r="R43" s="18">
        <v>0.01</v>
      </c>
      <c r="Z43" s="15">
        <v>72.5</v>
      </c>
      <c r="AA43" s="15">
        <v>75.599999999999994</v>
      </c>
      <c r="AB43" s="24">
        <v>84.6</v>
      </c>
      <c r="AC43" s="24">
        <v>82.5</v>
      </c>
    </row>
    <row r="44" spans="1:29" ht="23.25" x14ac:dyDescent="0.7">
      <c r="A44" s="21" t="s">
        <v>96</v>
      </c>
      <c r="B44" s="19" t="s">
        <v>8</v>
      </c>
      <c r="C44" s="15">
        <v>92.5</v>
      </c>
      <c r="D44" s="24">
        <v>102.9</v>
      </c>
      <c r="E44" s="4">
        <v>2</v>
      </c>
      <c r="F44" s="18">
        <v>0.02</v>
      </c>
      <c r="G44" s="15">
        <v>97.7</v>
      </c>
      <c r="H44" s="24">
        <v>102.9</v>
      </c>
      <c r="I44" s="4">
        <v>1</v>
      </c>
      <c r="J44" s="18">
        <v>0.02</v>
      </c>
      <c r="K44" s="15">
        <v>97.4</v>
      </c>
      <c r="L44" s="24">
        <v>102.9</v>
      </c>
      <c r="M44" s="4">
        <v>2</v>
      </c>
      <c r="N44" s="18">
        <v>0.03</v>
      </c>
      <c r="O44" s="15">
        <v>92.9</v>
      </c>
      <c r="P44" s="24">
        <v>102.9</v>
      </c>
      <c r="Q44" s="4">
        <v>2</v>
      </c>
      <c r="R44" s="18">
        <v>0.02</v>
      </c>
      <c r="Z44" s="15">
        <v>80.3</v>
      </c>
      <c r="AA44" s="15">
        <v>73.099999999999994</v>
      </c>
      <c r="AB44" s="24">
        <v>86.2</v>
      </c>
      <c r="AC44" s="24">
        <v>86.8</v>
      </c>
    </row>
    <row r="45" spans="1:29" ht="23.25" x14ac:dyDescent="0.7">
      <c r="A45" s="22" t="s">
        <v>92</v>
      </c>
      <c r="B45" s="20" t="s">
        <v>9</v>
      </c>
      <c r="C45" s="15">
        <v>81.5</v>
      </c>
      <c r="D45" s="24">
        <v>88.5</v>
      </c>
      <c r="E45" s="4">
        <v>2</v>
      </c>
      <c r="F45" s="18">
        <v>0.01</v>
      </c>
      <c r="G45" s="15">
        <v>79.099999999999994</v>
      </c>
      <c r="H45" s="24">
        <v>88.5</v>
      </c>
      <c r="I45" s="4">
        <v>2</v>
      </c>
      <c r="J45" s="18">
        <v>0.01</v>
      </c>
      <c r="K45" s="15">
        <v>75.5</v>
      </c>
      <c r="L45" s="24">
        <v>75.5</v>
      </c>
      <c r="M45" s="4">
        <v>3</v>
      </c>
      <c r="N45" s="18">
        <v>0.01</v>
      </c>
      <c r="O45" s="15">
        <v>73.599999999999994</v>
      </c>
      <c r="P45" s="24">
        <v>75.5</v>
      </c>
      <c r="Q45" s="4">
        <v>3</v>
      </c>
      <c r="R45" s="18">
        <v>0.01</v>
      </c>
      <c r="Z45" s="15">
        <v>71.7</v>
      </c>
      <c r="AA45" s="15">
        <v>82.8</v>
      </c>
      <c r="AB45" s="24">
        <v>79.7</v>
      </c>
      <c r="AC45" s="24">
        <v>87.6</v>
      </c>
    </row>
    <row r="46" spans="1:29" ht="23.25" x14ac:dyDescent="0.7">
      <c r="A46" s="22" t="s">
        <v>93</v>
      </c>
      <c r="B46" s="20" t="s">
        <v>9</v>
      </c>
      <c r="C46" s="15">
        <v>72.5</v>
      </c>
      <c r="D46" s="24">
        <v>84.6</v>
      </c>
      <c r="E46" s="4">
        <v>2</v>
      </c>
      <c r="F46" s="18">
        <v>0.01</v>
      </c>
      <c r="G46" s="15">
        <v>83.4</v>
      </c>
      <c r="H46" s="24">
        <v>84.6</v>
      </c>
      <c r="I46" s="4">
        <v>1</v>
      </c>
      <c r="J46" s="18">
        <v>0.03</v>
      </c>
      <c r="K46" s="15">
        <v>75.599999999999994</v>
      </c>
      <c r="L46" s="24">
        <v>82.5</v>
      </c>
      <c r="M46" s="4">
        <v>2</v>
      </c>
      <c r="N46" s="18">
        <v>0.02</v>
      </c>
      <c r="O46" s="15">
        <v>70.7</v>
      </c>
      <c r="P46" s="24">
        <v>82.5</v>
      </c>
      <c r="Q46" s="4">
        <v>3</v>
      </c>
      <c r="R46" s="18">
        <v>0.02</v>
      </c>
      <c r="Z46" s="15">
        <v>72.400000000000006</v>
      </c>
      <c r="AA46" s="15">
        <v>75.599999999999994</v>
      </c>
      <c r="AB46" s="24">
        <v>84.6</v>
      </c>
      <c r="AC46" s="24">
        <v>82.5</v>
      </c>
    </row>
    <row r="47" spans="1:29" ht="23.25" x14ac:dyDescent="0.7">
      <c r="A47" s="22" t="s">
        <v>94</v>
      </c>
      <c r="B47" s="20" t="s">
        <v>9</v>
      </c>
      <c r="C47" s="15">
        <v>80.3</v>
      </c>
      <c r="D47" s="24">
        <v>86.2</v>
      </c>
      <c r="E47" s="4">
        <v>4</v>
      </c>
      <c r="F47" s="18">
        <v>0.02</v>
      </c>
      <c r="G47" s="15">
        <v>79.599999999999994</v>
      </c>
      <c r="H47" s="24">
        <v>86.2</v>
      </c>
      <c r="I47" s="4">
        <v>4</v>
      </c>
      <c r="J47" s="18">
        <v>0.01</v>
      </c>
      <c r="K47" s="15">
        <v>73.099999999999994</v>
      </c>
      <c r="L47" s="24">
        <v>86.8</v>
      </c>
      <c r="M47" s="4">
        <v>5</v>
      </c>
      <c r="N47" s="18">
        <v>0.01</v>
      </c>
      <c r="O47" s="15">
        <v>86.8</v>
      </c>
      <c r="P47" s="24">
        <v>86.8</v>
      </c>
      <c r="Q47" s="4">
        <v>3</v>
      </c>
      <c r="R47" s="18">
        <v>0.01</v>
      </c>
      <c r="Z47" s="15">
        <v>86.4</v>
      </c>
      <c r="AA47" s="15">
        <v>90.8</v>
      </c>
      <c r="AB47" s="24">
        <v>95.5</v>
      </c>
      <c r="AC47" s="24">
        <v>95.4</v>
      </c>
    </row>
    <row r="48" spans="1:29" ht="23.25" x14ac:dyDescent="0.7">
      <c r="A48" s="22" t="s">
        <v>95</v>
      </c>
      <c r="B48" s="20" t="s">
        <v>9</v>
      </c>
      <c r="C48" s="15">
        <v>71.7</v>
      </c>
      <c r="D48" s="24">
        <v>79.7</v>
      </c>
      <c r="E48" s="4">
        <v>4</v>
      </c>
      <c r="F48" s="18">
        <v>0.01</v>
      </c>
      <c r="G48" s="15">
        <v>72.099999999999994</v>
      </c>
      <c r="H48" s="24">
        <v>79.7</v>
      </c>
      <c r="I48" s="4">
        <v>3</v>
      </c>
      <c r="J48" s="18">
        <v>0.01</v>
      </c>
      <c r="K48" s="15">
        <v>82.8</v>
      </c>
      <c r="L48" s="24">
        <v>87.6</v>
      </c>
      <c r="M48" s="4">
        <v>4</v>
      </c>
      <c r="N48" s="18">
        <v>0.01</v>
      </c>
      <c r="O48" s="15">
        <v>85.9</v>
      </c>
      <c r="P48" s="24">
        <v>87.6</v>
      </c>
      <c r="Q48" s="4">
        <v>4</v>
      </c>
      <c r="R48" s="18">
        <v>0.01</v>
      </c>
      <c r="Z48" s="15">
        <v>87.7</v>
      </c>
      <c r="AA48" s="15">
        <v>88.7</v>
      </c>
      <c r="AB48" s="24">
        <v>95.5</v>
      </c>
      <c r="AC48" s="24">
        <v>95.4</v>
      </c>
    </row>
    <row r="49" spans="1:29" ht="23.25" x14ac:dyDescent="0.7">
      <c r="A49" s="22" t="s">
        <v>96</v>
      </c>
      <c r="B49" s="20" t="s">
        <v>9</v>
      </c>
      <c r="C49" s="15">
        <v>72.400000000000006</v>
      </c>
      <c r="D49" s="24">
        <v>84.6</v>
      </c>
      <c r="E49" s="4">
        <v>2</v>
      </c>
      <c r="F49" s="18">
        <v>0.01</v>
      </c>
      <c r="G49" s="15">
        <v>83.4</v>
      </c>
      <c r="H49" s="24">
        <v>84.6</v>
      </c>
      <c r="I49" s="4">
        <v>1</v>
      </c>
      <c r="J49" s="18">
        <v>0.03</v>
      </c>
      <c r="K49" s="15">
        <v>75.599999999999994</v>
      </c>
      <c r="L49" s="24">
        <v>82.5</v>
      </c>
      <c r="M49" s="4">
        <v>2</v>
      </c>
      <c r="N49" s="18">
        <v>0.01</v>
      </c>
      <c r="O49" s="15">
        <v>74.7</v>
      </c>
      <c r="P49" s="24">
        <v>82.5</v>
      </c>
      <c r="Q49" s="4">
        <v>3</v>
      </c>
      <c r="R49" s="18">
        <v>0.01</v>
      </c>
      <c r="Z49" s="15">
        <v>89.6</v>
      </c>
      <c r="AA49" s="15">
        <v>89.9</v>
      </c>
      <c r="AB49" s="24">
        <v>97.5</v>
      </c>
      <c r="AC49" s="24">
        <v>98.4</v>
      </c>
    </row>
    <row r="50" spans="1:29" ht="23.25" x14ac:dyDescent="0.7">
      <c r="A50" s="21" t="s">
        <v>92</v>
      </c>
      <c r="B50" s="7" t="s">
        <v>10</v>
      </c>
      <c r="C50" s="15">
        <v>86.4</v>
      </c>
      <c r="D50" s="24">
        <v>95.5</v>
      </c>
      <c r="E50" s="4">
        <v>4</v>
      </c>
      <c r="F50" s="18">
        <v>0.02</v>
      </c>
      <c r="G50" s="15">
        <v>94.4</v>
      </c>
      <c r="H50" s="24">
        <v>95.5</v>
      </c>
      <c r="I50" s="4">
        <v>1</v>
      </c>
      <c r="J50" s="18">
        <v>0.01</v>
      </c>
      <c r="K50" s="15">
        <v>90.8</v>
      </c>
      <c r="L50" s="24">
        <v>95.4</v>
      </c>
      <c r="M50" s="4">
        <v>4</v>
      </c>
      <c r="N50" s="18">
        <v>0.01</v>
      </c>
      <c r="O50" s="15">
        <v>95.1</v>
      </c>
      <c r="P50" s="24">
        <v>95.4</v>
      </c>
      <c r="Q50" s="4">
        <v>2</v>
      </c>
      <c r="R50" s="18">
        <v>0.01</v>
      </c>
      <c r="Z50" s="15">
        <v>94</v>
      </c>
      <c r="AA50" s="15">
        <v>94.4</v>
      </c>
      <c r="AB50" s="24">
        <v>101.7</v>
      </c>
      <c r="AC50" s="24">
        <v>101.3</v>
      </c>
    </row>
    <row r="51" spans="1:29" ht="23.25" x14ac:dyDescent="0.7">
      <c r="A51" s="21" t="s">
        <v>93</v>
      </c>
      <c r="B51" s="7" t="s">
        <v>10</v>
      </c>
      <c r="C51" s="15">
        <v>87.7</v>
      </c>
      <c r="D51" s="24">
        <v>95.5</v>
      </c>
      <c r="E51" s="4">
        <v>3</v>
      </c>
      <c r="F51" s="18">
        <v>0.02</v>
      </c>
      <c r="G51" s="15">
        <v>95.5</v>
      </c>
      <c r="H51" s="24">
        <v>95.5</v>
      </c>
      <c r="I51" s="4">
        <v>1</v>
      </c>
      <c r="J51" s="18">
        <v>0.01</v>
      </c>
      <c r="K51" s="15">
        <v>88.7</v>
      </c>
      <c r="L51" s="24">
        <v>95.4</v>
      </c>
      <c r="M51" s="4">
        <v>4</v>
      </c>
      <c r="N51" s="18">
        <v>0.01</v>
      </c>
      <c r="O51" s="15">
        <v>94.2</v>
      </c>
      <c r="P51" s="24">
        <v>95.4</v>
      </c>
      <c r="Q51" s="4">
        <v>2</v>
      </c>
      <c r="R51" s="18">
        <v>0.02</v>
      </c>
      <c r="Z51" s="15">
        <v>86.4</v>
      </c>
      <c r="AA51" s="15">
        <v>90.1</v>
      </c>
      <c r="AB51" s="24">
        <v>95.5</v>
      </c>
      <c r="AC51" s="24">
        <v>95.4</v>
      </c>
    </row>
    <row r="52" spans="1:29" ht="23.25" x14ac:dyDescent="0.7">
      <c r="A52" s="21" t="s">
        <v>94</v>
      </c>
      <c r="B52" s="7" t="s">
        <v>10</v>
      </c>
      <c r="C52" s="15">
        <v>89.6</v>
      </c>
      <c r="D52" s="24">
        <v>97.5</v>
      </c>
      <c r="E52" s="4">
        <v>4</v>
      </c>
      <c r="F52" s="18">
        <v>0.02</v>
      </c>
      <c r="G52" s="15">
        <v>96.6</v>
      </c>
      <c r="H52" s="24">
        <v>97.5</v>
      </c>
      <c r="I52" s="4">
        <v>1</v>
      </c>
      <c r="J52" s="18">
        <v>0.01</v>
      </c>
      <c r="K52" s="15">
        <v>89.9</v>
      </c>
      <c r="L52" s="24">
        <v>98.4</v>
      </c>
      <c r="M52" s="4">
        <v>4</v>
      </c>
      <c r="N52" s="18">
        <v>0.01</v>
      </c>
      <c r="O52" s="15">
        <v>96.6</v>
      </c>
      <c r="P52" s="24">
        <v>98.4</v>
      </c>
      <c r="Q52" s="4">
        <v>2</v>
      </c>
      <c r="R52" s="18">
        <v>0.02</v>
      </c>
      <c r="Z52" s="15">
        <v>101</v>
      </c>
      <c r="AA52" s="15">
        <v>96.6</v>
      </c>
      <c r="AB52" s="24">
        <v>108.6</v>
      </c>
      <c r="AC52" s="24">
        <v>96.6</v>
      </c>
    </row>
    <row r="53" spans="1:29" ht="23.25" x14ac:dyDescent="0.7">
      <c r="A53" s="21" t="s">
        <v>95</v>
      </c>
      <c r="B53" s="7" t="s">
        <v>10</v>
      </c>
      <c r="C53" s="15">
        <v>94</v>
      </c>
      <c r="D53" s="24">
        <v>101.7</v>
      </c>
      <c r="E53" s="4">
        <v>3</v>
      </c>
      <c r="F53" s="18">
        <v>0.02</v>
      </c>
      <c r="G53" s="15">
        <v>97.1</v>
      </c>
      <c r="H53" s="24">
        <v>101.7</v>
      </c>
      <c r="I53" s="4">
        <v>3</v>
      </c>
      <c r="J53" s="18">
        <v>0.04</v>
      </c>
      <c r="K53" s="15">
        <v>94.4</v>
      </c>
      <c r="L53" s="24">
        <v>101.3</v>
      </c>
      <c r="M53" s="4">
        <v>4</v>
      </c>
      <c r="N53" s="18">
        <v>0.01</v>
      </c>
      <c r="O53" s="15">
        <v>95.3</v>
      </c>
      <c r="P53" s="24">
        <v>101.3</v>
      </c>
      <c r="Q53" s="4">
        <v>5</v>
      </c>
      <c r="R53" s="18">
        <v>0.01</v>
      </c>
      <c r="Z53" s="15">
        <v>101.1</v>
      </c>
      <c r="AA53" s="15">
        <v>92.2</v>
      </c>
      <c r="AB53" s="24">
        <v>111</v>
      </c>
      <c r="AC53" s="24">
        <v>104.9</v>
      </c>
    </row>
    <row r="54" spans="1:29" ht="23.25" x14ac:dyDescent="0.7">
      <c r="A54" s="21" t="s">
        <v>96</v>
      </c>
      <c r="B54" s="7" t="s">
        <v>10</v>
      </c>
      <c r="C54" s="15">
        <v>86.4</v>
      </c>
      <c r="D54" s="24">
        <v>95.5</v>
      </c>
      <c r="E54" s="4">
        <v>4</v>
      </c>
      <c r="F54" s="18">
        <v>0.02</v>
      </c>
      <c r="G54" s="15">
        <v>94.1</v>
      </c>
      <c r="H54" s="24">
        <v>95.5</v>
      </c>
      <c r="I54" s="4">
        <v>2</v>
      </c>
      <c r="J54" s="18">
        <v>0.02</v>
      </c>
      <c r="K54" s="15">
        <v>90.1</v>
      </c>
      <c r="L54" s="24">
        <v>95.4</v>
      </c>
      <c r="M54" s="4">
        <v>4</v>
      </c>
      <c r="N54" s="18">
        <v>0.01</v>
      </c>
      <c r="O54" s="15">
        <v>95.7</v>
      </c>
      <c r="P54" s="24">
        <v>95.4</v>
      </c>
      <c r="Q54" s="4">
        <v>2</v>
      </c>
      <c r="R54" s="18">
        <v>0.02</v>
      </c>
      <c r="Z54" s="15">
        <v>95.8</v>
      </c>
      <c r="AA54" s="15">
        <v>93.9</v>
      </c>
      <c r="AB54" s="24">
        <v>108.1</v>
      </c>
      <c r="AC54" s="24">
        <v>97.9</v>
      </c>
    </row>
    <row r="55" spans="1:29" ht="23.25" x14ac:dyDescent="0.7">
      <c r="A55" s="21" t="s">
        <v>92</v>
      </c>
      <c r="B55" s="1" t="s">
        <v>14</v>
      </c>
      <c r="C55" s="15">
        <v>101</v>
      </c>
      <c r="D55" s="24">
        <v>108.6</v>
      </c>
      <c r="E55" s="4">
        <v>3</v>
      </c>
      <c r="F55" s="18">
        <v>0.03</v>
      </c>
      <c r="G55" s="15">
        <v>100.5</v>
      </c>
      <c r="H55" s="24">
        <v>108.6</v>
      </c>
      <c r="I55" s="4">
        <v>3</v>
      </c>
      <c r="J55" s="18">
        <v>0.03</v>
      </c>
      <c r="K55" s="15">
        <v>96.6</v>
      </c>
      <c r="L55" s="24">
        <v>96.6</v>
      </c>
      <c r="M55" s="4">
        <v>1</v>
      </c>
      <c r="N55" s="18">
        <v>0.01</v>
      </c>
      <c r="O55" s="15">
        <v>96.6</v>
      </c>
      <c r="P55" s="24">
        <v>96.6</v>
      </c>
      <c r="Q55" s="4">
        <v>1</v>
      </c>
      <c r="R55" s="18">
        <v>0.01</v>
      </c>
      <c r="Z55" s="15">
        <v>105.4</v>
      </c>
      <c r="AA55" s="15">
        <v>93</v>
      </c>
      <c r="AB55" s="24">
        <v>111</v>
      </c>
      <c r="AC55" s="24">
        <v>104.9</v>
      </c>
    </row>
    <row r="56" spans="1:29" ht="23.25" x14ac:dyDescent="0.7">
      <c r="A56" s="21" t="s">
        <v>93</v>
      </c>
      <c r="B56" s="1" t="s">
        <v>14</v>
      </c>
      <c r="C56" s="15">
        <v>101.1</v>
      </c>
      <c r="D56" s="24">
        <v>111</v>
      </c>
      <c r="E56" s="4">
        <v>3</v>
      </c>
      <c r="F56" s="18">
        <v>0.01</v>
      </c>
      <c r="G56" s="15">
        <v>102.1</v>
      </c>
      <c r="H56" s="24">
        <v>111</v>
      </c>
      <c r="I56" s="4">
        <v>3</v>
      </c>
      <c r="J56" s="18">
        <v>0.02</v>
      </c>
      <c r="K56" s="15">
        <v>92.2</v>
      </c>
      <c r="L56" s="24">
        <v>104.9</v>
      </c>
      <c r="M56" s="4">
        <v>3</v>
      </c>
      <c r="N56" s="18">
        <v>0.01</v>
      </c>
      <c r="O56" s="15">
        <v>97.1</v>
      </c>
      <c r="P56" s="24">
        <v>104.9</v>
      </c>
      <c r="Q56" s="4">
        <v>2</v>
      </c>
      <c r="R56" s="18">
        <v>0.01</v>
      </c>
      <c r="Z56" s="15">
        <v>100</v>
      </c>
      <c r="AA56" s="15">
        <v>93.2</v>
      </c>
      <c r="AB56" s="24">
        <v>103.9</v>
      </c>
      <c r="AC56" s="24">
        <v>98.1</v>
      </c>
    </row>
    <row r="57" spans="1:29" ht="23.25" x14ac:dyDescent="0.7">
      <c r="A57" s="21" t="s">
        <v>94</v>
      </c>
      <c r="B57" s="1" t="s">
        <v>14</v>
      </c>
      <c r="C57" s="15">
        <v>95.8</v>
      </c>
      <c r="D57" s="24">
        <v>108.1</v>
      </c>
      <c r="E57" s="4">
        <v>3</v>
      </c>
      <c r="F57" s="18">
        <v>0.01</v>
      </c>
      <c r="G57" s="15">
        <v>96.4</v>
      </c>
      <c r="H57" s="24">
        <v>108.1</v>
      </c>
      <c r="I57" s="4">
        <v>3</v>
      </c>
      <c r="J57" s="18">
        <v>0.01</v>
      </c>
      <c r="K57" s="15">
        <v>93.9</v>
      </c>
      <c r="L57" s="24">
        <v>97.9</v>
      </c>
      <c r="M57" s="4">
        <v>3</v>
      </c>
      <c r="N57" s="18">
        <v>0.01</v>
      </c>
      <c r="O57" s="15">
        <v>97</v>
      </c>
      <c r="P57" s="24">
        <v>97.9</v>
      </c>
      <c r="Q57" s="4">
        <v>3</v>
      </c>
      <c r="R57" s="18">
        <v>0.01</v>
      </c>
      <c r="Z57" s="15">
        <v>94.4</v>
      </c>
      <c r="AA57" s="15">
        <v>94.9</v>
      </c>
      <c r="AB57" s="24">
        <v>105.7</v>
      </c>
      <c r="AC57" s="24">
        <v>105.7</v>
      </c>
    </row>
    <row r="58" spans="1:29" ht="23.25" x14ac:dyDescent="0.7">
      <c r="A58" s="21" t="s">
        <v>95</v>
      </c>
      <c r="B58" s="1" t="s">
        <v>14</v>
      </c>
      <c r="C58" s="15">
        <v>105.4</v>
      </c>
      <c r="D58" s="24">
        <v>111</v>
      </c>
      <c r="E58" s="4">
        <v>3</v>
      </c>
      <c r="F58" s="18">
        <v>0.01</v>
      </c>
      <c r="G58" s="15">
        <v>104.3</v>
      </c>
      <c r="H58" s="24">
        <v>111</v>
      </c>
      <c r="I58" s="4">
        <v>3</v>
      </c>
      <c r="J58" s="18">
        <v>0.01</v>
      </c>
      <c r="K58" s="15">
        <v>93</v>
      </c>
      <c r="L58" s="24">
        <v>104.9</v>
      </c>
      <c r="M58" s="4">
        <v>3</v>
      </c>
      <c r="N58" s="18">
        <v>0.01</v>
      </c>
      <c r="O58" s="15">
        <v>97.9</v>
      </c>
      <c r="P58" s="24">
        <v>104.9</v>
      </c>
      <c r="Q58" s="4">
        <v>2</v>
      </c>
      <c r="R58" s="18">
        <v>0.01</v>
      </c>
      <c r="Z58" s="15">
        <v>93.5</v>
      </c>
      <c r="AA58" s="15">
        <v>94.7</v>
      </c>
      <c r="AB58" s="24">
        <v>105.7</v>
      </c>
      <c r="AC58" s="24">
        <v>105.7</v>
      </c>
    </row>
    <row r="59" spans="1:29" ht="23.25" x14ac:dyDescent="0.7">
      <c r="A59" s="21" t="s">
        <v>96</v>
      </c>
      <c r="B59" s="1" t="s">
        <v>14</v>
      </c>
      <c r="C59" s="15">
        <v>100</v>
      </c>
      <c r="D59" s="24">
        <v>103.9</v>
      </c>
      <c r="E59" s="4">
        <v>3</v>
      </c>
      <c r="F59" s="18">
        <v>0.02</v>
      </c>
      <c r="G59" s="15">
        <v>100</v>
      </c>
      <c r="H59" s="24">
        <v>103.9</v>
      </c>
      <c r="I59" s="4">
        <v>3</v>
      </c>
      <c r="J59" s="18">
        <v>0.01</v>
      </c>
      <c r="K59" s="15">
        <v>93.2</v>
      </c>
      <c r="L59" s="24">
        <v>98.1</v>
      </c>
      <c r="M59" s="4">
        <v>3</v>
      </c>
      <c r="N59" s="18">
        <v>0.01</v>
      </c>
      <c r="O59" s="15">
        <v>98.1</v>
      </c>
      <c r="P59" s="24">
        <v>98.1</v>
      </c>
      <c r="Q59" s="4">
        <v>2</v>
      </c>
      <c r="R59" s="18">
        <v>0.01</v>
      </c>
      <c r="Z59" s="15">
        <v>95.3</v>
      </c>
      <c r="AA59" s="15">
        <v>93.1</v>
      </c>
      <c r="AB59" s="24">
        <v>105.7</v>
      </c>
      <c r="AC59" s="24">
        <v>105.7</v>
      </c>
    </row>
    <row r="60" spans="1:29" ht="23.25" x14ac:dyDescent="0.7">
      <c r="A60" s="22" t="s">
        <v>92</v>
      </c>
      <c r="B60" s="5" t="s">
        <v>15</v>
      </c>
      <c r="C60" s="15">
        <v>94.4</v>
      </c>
      <c r="D60" s="24">
        <v>105.7</v>
      </c>
      <c r="E60" s="4">
        <v>2</v>
      </c>
      <c r="F60" s="18">
        <v>0.01</v>
      </c>
      <c r="G60" s="15">
        <v>103.7</v>
      </c>
      <c r="H60" s="24">
        <v>105.7</v>
      </c>
      <c r="I60" s="4">
        <v>1</v>
      </c>
      <c r="J60" s="18">
        <v>0.02</v>
      </c>
      <c r="K60" s="15">
        <v>94.9</v>
      </c>
      <c r="L60" s="24">
        <v>105.7</v>
      </c>
      <c r="M60" s="4">
        <v>2</v>
      </c>
      <c r="N60" s="18">
        <v>0.01</v>
      </c>
      <c r="O60" s="15">
        <v>103.6</v>
      </c>
      <c r="P60" s="24">
        <v>105.7</v>
      </c>
      <c r="Q60" s="4">
        <v>1</v>
      </c>
      <c r="R60" s="18">
        <v>0.02</v>
      </c>
      <c r="Z60" s="15">
        <v>97.5</v>
      </c>
      <c r="AA60" s="15">
        <v>94.3</v>
      </c>
      <c r="AB60" s="24">
        <v>109.3</v>
      </c>
      <c r="AC60" s="24">
        <v>104.1</v>
      </c>
    </row>
    <row r="61" spans="1:29" ht="23.25" x14ac:dyDescent="0.7">
      <c r="A61" s="22" t="s">
        <v>93</v>
      </c>
      <c r="B61" s="5" t="s">
        <v>15</v>
      </c>
      <c r="C61" s="15">
        <v>93.5</v>
      </c>
      <c r="D61" s="24">
        <v>105.7</v>
      </c>
      <c r="E61" s="4">
        <v>2</v>
      </c>
      <c r="F61" s="18">
        <v>0.01</v>
      </c>
      <c r="G61" s="15">
        <v>104.9</v>
      </c>
      <c r="H61" s="24">
        <v>105.7</v>
      </c>
      <c r="I61" s="4">
        <v>1</v>
      </c>
      <c r="J61" s="18">
        <v>0.02</v>
      </c>
      <c r="K61" s="15">
        <v>94.7</v>
      </c>
      <c r="L61" s="24">
        <v>105.7</v>
      </c>
      <c r="M61" s="4">
        <v>2</v>
      </c>
      <c r="N61" s="18">
        <v>0.01</v>
      </c>
      <c r="O61" s="15">
        <v>105</v>
      </c>
      <c r="P61" s="24">
        <v>105.7</v>
      </c>
      <c r="Q61" s="4">
        <v>1</v>
      </c>
      <c r="R61" s="18">
        <v>0.02</v>
      </c>
      <c r="Z61" s="15">
        <v>92.4</v>
      </c>
      <c r="AA61" s="15">
        <v>92.9</v>
      </c>
      <c r="AB61" s="24">
        <v>105.7</v>
      </c>
      <c r="AC61" s="24">
        <v>105.7</v>
      </c>
    </row>
    <row r="62" spans="1:29" ht="23.25" x14ac:dyDescent="0.7">
      <c r="A62" s="22" t="s">
        <v>94</v>
      </c>
      <c r="B62" s="5" t="s">
        <v>15</v>
      </c>
      <c r="C62" s="15">
        <v>95.3</v>
      </c>
      <c r="D62" s="24">
        <v>105.7</v>
      </c>
      <c r="E62" s="4">
        <v>2</v>
      </c>
      <c r="F62" s="18">
        <v>0.01</v>
      </c>
      <c r="G62" s="15">
        <v>105.4</v>
      </c>
      <c r="H62" s="24">
        <v>105.7</v>
      </c>
      <c r="I62" s="4">
        <v>1</v>
      </c>
      <c r="J62" s="18">
        <v>0.02</v>
      </c>
      <c r="K62" s="15">
        <v>93.1</v>
      </c>
      <c r="L62" s="24">
        <v>105.7</v>
      </c>
      <c r="M62" s="4">
        <v>2</v>
      </c>
      <c r="N62" s="18">
        <v>0.01</v>
      </c>
      <c r="O62" s="15">
        <v>104.6</v>
      </c>
      <c r="P62" s="24">
        <v>105.7</v>
      </c>
      <c r="Q62" s="4">
        <v>1</v>
      </c>
      <c r="R62" s="18">
        <v>0.02</v>
      </c>
      <c r="Z62" s="15">
        <v>94.2</v>
      </c>
      <c r="AA62" s="15">
        <v>82.4</v>
      </c>
      <c r="AB62" s="24">
        <v>101.8</v>
      </c>
      <c r="AC62" s="24">
        <v>85.4</v>
      </c>
    </row>
    <row r="63" spans="1:29" ht="23.25" x14ac:dyDescent="0.7">
      <c r="A63" s="22" t="s">
        <v>95</v>
      </c>
      <c r="B63" s="5" t="s">
        <v>15</v>
      </c>
      <c r="C63" s="15">
        <v>97.5</v>
      </c>
      <c r="D63" s="24">
        <v>109.3</v>
      </c>
      <c r="E63" s="4">
        <v>2</v>
      </c>
      <c r="F63" s="18">
        <v>0.01</v>
      </c>
      <c r="G63" s="15">
        <v>108.7</v>
      </c>
      <c r="H63" s="24">
        <v>109.3</v>
      </c>
      <c r="I63" s="4">
        <v>2</v>
      </c>
      <c r="J63" s="18">
        <v>0.01</v>
      </c>
      <c r="K63" s="15">
        <v>94.3</v>
      </c>
      <c r="L63" s="24">
        <v>104.1</v>
      </c>
      <c r="M63" s="4">
        <v>2</v>
      </c>
      <c r="N63" s="18">
        <v>0.01</v>
      </c>
      <c r="O63" s="15">
        <v>104.1</v>
      </c>
      <c r="P63" s="24">
        <v>104.1</v>
      </c>
      <c r="Q63" s="4">
        <v>1</v>
      </c>
      <c r="R63" s="18">
        <v>0.01</v>
      </c>
      <c r="Z63" s="15">
        <v>81.900000000000006</v>
      </c>
      <c r="AA63" s="15">
        <v>89.6</v>
      </c>
      <c r="AB63" s="24">
        <v>99.9</v>
      </c>
      <c r="AC63" s="24">
        <v>100.9</v>
      </c>
    </row>
    <row r="64" spans="1:29" ht="23.25" x14ac:dyDescent="0.7">
      <c r="A64" s="22" t="s">
        <v>96</v>
      </c>
      <c r="B64" s="5" t="s">
        <v>15</v>
      </c>
      <c r="C64" s="15">
        <v>92.4</v>
      </c>
      <c r="D64" s="24">
        <v>105.7</v>
      </c>
      <c r="E64" s="4">
        <v>2</v>
      </c>
      <c r="F64" s="18">
        <v>0.01</v>
      </c>
      <c r="G64" s="15">
        <v>103.2</v>
      </c>
      <c r="H64" s="24">
        <v>105.7</v>
      </c>
      <c r="I64" s="4">
        <v>1</v>
      </c>
      <c r="J64" s="18">
        <v>0.02</v>
      </c>
      <c r="K64" s="15">
        <v>92.9</v>
      </c>
      <c r="L64" s="24">
        <v>105.7</v>
      </c>
      <c r="M64" s="4">
        <v>2</v>
      </c>
      <c r="N64" s="18">
        <v>0.01</v>
      </c>
      <c r="O64" s="15">
        <v>104.8</v>
      </c>
      <c r="P64" s="24">
        <v>105.7</v>
      </c>
      <c r="Q64" s="4">
        <v>1</v>
      </c>
      <c r="R64" s="18">
        <v>0.02</v>
      </c>
      <c r="Z64" s="15">
        <v>94.4</v>
      </c>
      <c r="AA64" s="15">
        <v>83.5</v>
      </c>
      <c r="AB64" s="24">
        <v>96.6</v>
      </c>
      <c r="AC64" s="24">
        <v>94.4</v>
      </c>
    </row>
    <row r="65" spans="1:29" ht="23.25" x14ac:dyDescent="0.7">
      <c r="A65" s="21" t="s">
        <v>92</v>
      </c>
      <c r="B65" s="19" t="s">
        <v>16</v>
      </c>
      <c r="C65" s="15">
        <v>94.2</v>
      </c>
      <c r="D65" s="24">
        <v>101.8</v>
      </c>
      <c r="E65" s="4">
        <v>4</v>
      </c>
      <c r="F65" s="18">
        <v>0.01</v>
      </c>
      <c r="G65" s="15">
        <v>100.6</v>
      </c>
      <c r="H65" s="24">
        <v>101.8</v>
      </c>
      <c r="I65" s="4">
        <v>3</v>
      </c>
      <c r="J65" s="18">
        <v>0.02</v>
      </c>
      <c r="K65" s="15">
        <v>82.4</v>
      </c>
      <c r="L65" s="24">
        <v>85.4</v>
      </c>
      <c r="M65" s="4">
        <v>3</v>
      </c>
      <c r="N65" s="18">
        <v>0.01</v>
      </c>
      <c r="O65" s="15">
        <v>85.4</v>
      </c>
      <c r="P65" s="24">
        <v>85.4</v>
      </c>
      <c r="Q65" s="4">
        <v>2</v>
      </c>
      <c r="R65" s="18">
        <v>0.01</v>
      </c>
      <c r="Z65" s="15">
        <v>82.9</v>
      </c>
      <c r="AA65" s="15">
        <v>99.9</v>
      </c>
      <c r="AB65" s="24">
        <v>88.7</v>
      </c>
      <c r="AC65" s="24">
        <v>103.4</v>
      </c>
    </row>
    <row r="66" spans="1:29" ht="23.25" x14ac:dyDescent="0.7">
      <c r="A66" s="21" t="s">
        <v>93</v>
      </c>
      <c r="B66" s="19" t="s">
        <v>16</v>
      </c>
      <c r="C66" s="15">
        <v>81.900000000000006</v>
      </c>
      <c r="D66" s="24">
        <v>99.9</v>
      </c>
      <c r="E66" s="4">
        <v>3</v>
      </c>
      <c r="F66" s="18">
        <v>0.04</v>
      </c>
      <c r="G66" s="15">
        <v>81.2</v>
      </c>
      <c r="H66" s="24">
        <v>99.9</v>
      </c>
      <c r="I66" s="4">
        <v>3</v>
      </c>
      <c r="J66" s="18">
        <v>0.04</v>
      </c>
      <c r="K66" s="15">
        <v>89.6</v>
      </c>
      <c r="L66" s="24">
        <v>100.9</v>
      </c>
      <c r="M66" s="4">
        <v>3</v>
      </c>
      <c r="N66" s="18">
        <v>0.01</v>
      </c>
      <c r="O66" s="15">
        <v>89.6</v>
      </c>
      <c r="P66" s="24">
        <v>100.9</v>
      </c>
      <c r="Q66" s="4">
        <v>3</v>
      </c>
      <c r="R66" s="18">
        <v>0.01</v>
      </c>
      <c r="Z66" s="15">
        <v>84.2</v>
      </c>
      <c r="AA66" s="15">
        <v>91.8</v>
      </c>
      <c r="AB66" s="24">
        <v>94</v>
      </c>
      <c r="AC66" s="24">
        <v>99.7</v>
      </c>
    </row>
    <row r="67" spans="1:29" ht="23.25" x14ac:dyDescent="0.7">
      <c r="A67" s="21" t="s">
        <v>94</v>
      </c>
      <c r="B67" s="19" t="s">
        <v>16</v>
      </c>
      <c r="C67" s="15">
        <v>94.4</v>
      </c>
      <c r="D67" s="24">
        <v>96.6</v>
      </c>
      <c r="E67" s="4">
        <v>3</v>
      </c>
      <c r="F67" s="18">
        <v>0.01</v>
      </c>
      <c r="G67" s="15">
        <v>91.3</v>
      </c>
      <c r="H67" s="24">
        <v>96.6</v>
      </c>
      <c r="I67" s="4">
        <v>3</v>
      </c>
      <c r="J67" s="18">
        <v>0.02</v>
      </c>
      <c r="K67" s="15">
        <v>83.5</v>
      </c>
      <c r="L67" s="24">
        <v>94.4</v>
      </c>
      <c r="M67" s="4">
        <v>3</v>
      </c>
      <c r="N67" s="18">
        <v>0.01</v>
      </c>
      <c r="O67" s="15">
        <v>91.7</v>
      </c>
      <c r="P67" s="24">
        <v>94.4</v>
      </c>
      <c r="Q67" s="4">
        <v>3</v>
      </c>
      <c r="R67" s="18">
        <v>0.01</v>
      </c>
      <c r="Z67" s="15">
        <v>88.9</v>
      </c>
      <c r="AA67" s="15">
        <v>89.5</v>
      </c>
      <c r="AB67" s="24">
        <v>109.4</v>
      </c>
      <c r="AC67" s="24">
        <v>107.2</v>
      </c>
    </row>
    <row r="68" spans="1:29" ht="23.25" x14ac:dyDescent="0.7">
      <c r="A68" s="21" t="s">
        <v>95</v>
      </c>
      <c r="B68" s="19" t="s">
        <v>16</v>
      </c>
      <c r="C68" s="15">
        <v>82.9</v>
      </c>
      <c r="D68" s="24">
        <v>88.7</v>
      </c>
      <c r="E68" s="4">
        <v>4</v>
      </c>
      <c r="F68" s="18">
        <v>0.01</v>
      </c>
      <c r="G68" s="15">
        <v>88.1</v>
      </c>
      <c r="H68" s="24">
        <v>88.7</v>
      </c>
      <c r="I68" s="4">
        <v>2</v>
      </c>
      <c r="J68" s="18">
        <v>0.01</v>
      </c>
      <c r="K68" s="15">
        <v>99.9</v>
      </c>
      <c r="L68" s="24">
        <v>103.4</v>
      </c>
      <c r="M68" s="4">
        <v>2</v>
      </c>
      <c r="N68" s="18">
        <v>0.02</v>
      </c>
      <c r="O68" s="15">
        <v>103.4</v>
      </c>
      <c r="P68" s="24">
        <v>103.4</v>
      </c>
      <c r="Q68" s="4">
        <v>1</v>
      </c>
      <c r="R68" s="18">
        <v>0.01</v>
      </c>
      <c r="Z68" s="15">
        <v>86.7</v>
      </c>
      <c r="AA68" s="15">
        <v>90.5</v>
      </c>
      <c r="AB68" s="24">
        <v>109.4</v>
      </c>
      <c r="AC68" s="24">
        <v>107.7</v>
      </c>
    </row>
    <row r="69" spans="1:29" ht="23.25" x14ac:dyDescent="0.7">
      <c r="A69" s="21" t="s">
        <v>96</v>
      </c>
      <c r="B69" s="19" t="s">
        <v>16</v>
      </c>
      <c r="C69" s="15">
        <v>84.2</v>
      </c>
      <c r="D69" s="24">
        <v>94</v>
      </c>
      <c r="E69" s="4">
        <v>3</v>
      </c>
      <c r="F69" s="18">
        <v>0.01</v>
      </c>
      <c r="G69" s="15">
        <v>78.900000000000006</v>
      </c>
      <c r="H69" s="24">
        <v>94</v>
      </c>
      <c r="I69" s="4">
        <v>5</v>
      </c>
      <c r="J69" s="18">
        <v>0.04</v>
      </c>
      <c r="K69" s="15">
        <v>91.8</v>
      </c>
      <c r="L69" s="24">
        <v>99.7</v>
      </c>
      <c r="M69" s="4">
        <v>2</v>
      </c>
      <c r="N69" s="18">
        <v>0.02</v>
      </c>
      <c r="O69" s="15">
        <v>91.1</v>
      </c>
      <c r="P69" s="24">
        <v>99.7</v>
      </c>
      <c r="Q69" s="4">
        <v>3</v>
      </c>
      <c r="R69" s="18">
        <v>0.01</v>
      </c>
      <c r="Z69" s="15">
        <v>87.3</v>
      </c>
      <c r="AA69" s="15">
        <v>92.9</v>
      </c>
      <c r="AB69" s="24">
        <v>109.4</v>
      </c>
      <c r="AC69" s="24">
        <v>110.7</v>
      </c>
    </row>
    <row r="70" spans="1:29" ht="23.25" x14ac:dyDescent="0.7">
      <c r="A70" s="22" t="s">
        <v>92</v>
      </c>
      <c r="B70" s="20" t="s">
        <v>17</v>
      </c>
      <c r="C70" s="15">
        <v>88.9</v>
      </c>
      <c r="D70" s="24">
        <v>109.4</v>
      </c>
      <c r="E70" s="4">
        <v>3</v>
      </c>
      <c r="F70" s="18">
        <v>0.01</v>
      </c>
      <c r="G70" s="15">
        <v>94.6</v>
      </c>
      <c r="H70" s="24">
        <v>109.4</v>
      </c>
      <c r="I70" s="4">
        <v>2</v>
      </c>
      <c r="J70" s="18">
        <v>0.01</v>
      </c>
      <c r="K70" s="15">
        <v>89.5</v>
      </c>
      <c r="L70" s="24">
        <v>107.2</v>
      </c>
      <c r="M70" s="4">
        <v>3</v>
      </c>
      <c r="N70" s="18">
        <v>0.01</v>
      </c>
      <c r="O70" s="15">
        <v>107.2</v>
      </c>
      <c r="P70" s="24">
        <v>107.2</v>
      </c>
      <c r="Q70" s="4">
        <v>1</v>
      </c>
      <c r="R70" s="18">
        <v>0.01</v>
      </c>
      <c r="Z70" s="15">
        <v>88.5</v>
      </c>
      <c r="AA70" s="15">
        <v>89.5</v>
      </c>
      <c r="AB70" s="24">
        <v>109.4</v>
      </c>
      <c r="AC70" s="24">
        <v>109.6</v>
      </c>
    </row>
    <row r="71" spans="1:29" ht="23.25" x14ac:dyDescent="0.7">
      <c r="A71" s="22" t="s">
        <v>93</v>
      </c>
      <c r="B71" s="20" t="s">
        <v>17</v>
      </c>
      <c r="C71" s="15">
        <v>86.7</v>
      </c>
      <c r="D71" s="24">
        <v>109.4</v>
      </c>
      <c r="E71" s="4">
        <v>3</v>
      </c>
      <c r="F71" s="18">
        <v>0.01</v>
      </c>
      <c r="G71" s="15">
        <v>93.5</v>
      </c>
      <c r="H71" s="24">
        <v>109.4</v>
      </c>
      <c r="I71" s="4">
        <v>2</v>
      </c>
      <c r="J71" s="18">
        <v>0.01</v>
      </c>
      <c r="K71" s="15">
        <v>90.5</v>
      </c>
      <c r="L71" s="24">
        <v>107.7</v>
      </c>
      <c r="M71" s="4">
        <v>3</v>
      </c>
      <c r="N71" s="18">
        <v>0.01</v>
      </c>
      <c r="O71" s="15">
        <v>106.5</v>
      </c>
      <c r="P71" s="24">
        <v>107.7</v>
      </c>
      <c r="Q71" s="4">
        <v>1</v>
      </c>
      <c r="R71" s="18">
        <v>0.01</v>
      </c>
      <c r="Z71" s="15">
        <v>87.8</v>
      </c>
      <c r="AA71" s="15">
        <v>90</v>
      </c>
      <c r="AB71" s="24">
        <v>109.4</v>
      </c>
      <c r="AC71" s="24">
        <v>107.7</v>
      </c>
    </row>
    <row r="72" spans="1:29" ht="23.25" x14ac:dyDescent="0.7">
      <c r="A72" s="22" t="s">
        <v>94</v>
      </c>
      <c r="B72" s="20" t="s">
        <v>17</v>
      </c>
      <c r="C72" s="15">
        <v>87.3</v>
      </c>
      <c r="D72" s="24">
        <v>109.4</v>
      </c>
      <c r="E72" s="4">
        <v>3</v>
      </c>
      <c r="F72" s="18">
        <v>0.01</v>
      </c>
      <c r="G72" s="15">
        <v>99.1</v>
      </c>
      <c r="H72" s="24">
        <v>109.4</v>
      </c>
      <c r="I72" s="4">
        <v>1</v>
      </c>
      <c r="J72" s="18">
        <v>0.01</v>
      </c>
      <c r="K72" s="15">
        <v>92.9</v>
      </c>
      <c r="L72" s="24">
        <v>110.7</v>
      </c>
      <c r="M72" s="4">
        <v>2</v>
      </c>
      <c r="N72" s="18">
        <v>0.01</v>
      </c>
      <c r="O72" s="15">
        <v>110.7</v>
      </c>
      <c r="P72" s="24">
        <v>110.7</v>
      </c>
      <c r="Q72" s="4">
        <v>0</v>
      </c>
      <c r="R72" s="18">
        <v>0.01</v>
      </c>
      <c r="Z72" s="15">
        <v>80.2</v>
      </c>
      <c r="AA72" s="15">
        <v>81.5</v>
      </c>
      <c r="AB72" s="24">
        <v>83.7</v>
      </c>
      <c r="AC72" s="24">
        <v>84.7</v>
      </c>
    </row>
    <row r="73" spans="1:29" ht="23.25" x14ac:dyDescent="0.7">
      <c r="A73" s="22" t="s">
        <v>95</v>
      </c>
      <c r="B73" s="20" t="s">
        <v>17</v>
      </c>
      <c r="C73" s="15">
        <v>88.5</v>
      </c>
      <c r="D73" s="24">
        <v>109.4</v>
      </c>
      <c r="E73" s="4">
        <v>3</v>
      </c>
      <c r="F73" s="18">
        <v>0.01</v>
      </c>
      <c r="G73" s="15">
        <v>95.7</v>
      </c>
      <c r="H73" s="24">
        <v>109.4</v>
      </c>
      <c r="I73" s="4">
        <v>2</v>
      </c>
      <c r="J73" s="18">
        <v>0.01</v>
      </c>
      <c r="K73" s="15">
        <v>89.5</v>
      </c>
      <c r="L73" s="24">
        <v>109.6</v>
      </c>
      <c r="M73" s="4">
        <v>3</v>
      </c>
      <c r="N73" s="18">
        <v>0.01</v>
      </c>
      <c r="O73" s="15">
        <v>108.9</v>
      </c>
      <c r="P73" s="24">
        <v>109.6</v>
      </c>
      <c r="Q73" s="4">
        <v>1</v>
      </c>
      <c r="R73" s="18">
        <v>0.01</v>
      </c>
      <c r="Z73" s="15">
        <v>91.1</v>
      </c>
      <c r="AA73" s="15">
        <v>78.099999999999994</v>
      </c>
      <c r="AB73" s="24">
        <v>91.1</v>
      </c>
      <c r="AC73" s="24">
        <v>93.4</v>
      </c>
    </row>
    <row r="74" spans="1:29" ht="23.25" x14ac:dyDescent="0.7">
      <c r="A74" s="22" t="s">
        <v>96</v>
      </c>
      <c r="B74" s="20" t="s">
        <v>17</v>
      </c>
      <c r="C74" s="15">
        <v>87.8</v>
      </c>
      <c r="D74" s="24">
        <v>109.4</v>
      </c>
      <c r="E74" s="4">
        <v>3</v>
      </c>
      <c r="F74" s="18">
        <v>0.01</v>
      </c>
      <c r="G74" s="15">
        <v>99.7</v>
      </c>
      <c r="H74" s="24">
        <v>109.4</v>
      </c>
      <c r="I74" s="4">
        <v>1</v>
      </c>
      <c r="J74" s="18">
        <v>0.01</v>
      </c>
      <c r="K74" s="15">
        <v>90</v>
      </c>
      <c r="L74" s="24">
        <v>107.7</v>
      </c>
      <c r="M74" s="4">
        <v>3</v>
      </c>
      <c r="N74" s="18">
        <v>0.01</v>
      </c>
      <c r="O74" s="15">
        <v>107.7</v>
      </c>
      <c r="P74" s="24">
        <v>107.7</v>
      </c>
      <c r="Q74" s="4">
        <v>1</v>
      </c>
      <c r="R74" s="18">
        <v>0.01</v>
      </c>
      <c r="Z74" s="15">
        <v>80.5</v>
      </c>
      <c r="AA74" s="15">
        <v>77.7</v>
      </c>
      <c r="AB74" s="24">
        <v>83</v>
      </c>
      <c r="AC74" s="24">
        <v>80.2</v>
      </c>
    </row>
    <row r="75" spans="1:29" ht="23.25" x14ac:dyDescent="0.7">
      <c r="A75" s="21"/>
      <c r="B75" s="7" t="s">
        <v>18</v>
      </c>
      <c r="C75" s="15">
        <v>80.2</v>
      </c>
      <c r="D75" s="24">
        <v>83.7</v>
      </c>
      <c r="E75" s="4">
        <v>3</v>
      </c>
      <c r="F75" s="18">
        <v>0.01</v>
      </c>
      <c r="G75" s="15">
        <v>80.599999999999994</v>
      </c>
      <c r="H75" s="24">
        <v>83.7</v>
      </c>
      <c r="I75" s="4">
        <v>2</v>
      </c>
      <c r="J75" s="18">
        <v>0.01</v>
      </c>
      <c r="K75" s="15">
        <v>81.5</v>
      </c>
      <c r="L75" s="24">
        <v>84.7</v>
      </c>
      <c r="M75" s="4">
        <v>2</v>
      </c>
      <c r="N75" s="18">
        <v>0.01</v>
      </c>
      <c r="O75" s="15">
        <v>81.7</v>
      </c>
      <c r="P75" s="24">
        <v>84.7</v>
      </c>
      <c r="Q75" s="4">
        <v>3</v>
      </c>
      <c r="R75" s="18">
        <v>0.01</v>
      </c>
      <c r="Z75" s="15">
        <v>81.599999999999994</v>
      </c>
      <c r="AA75" s="15">
        <v>82.9</v>
      </c>
      <c r="AB75" s="24">
        <v>83.7</v>
      </c>
      <c r="AC75" s="24">
        <v>84.7</v>
      </c>
    </row>
    <row r="76" spans="1:29" ht="23.25" x14ac:dyDescent="0.7">
      <c r="A76" s="21" t="s">
        <v>93</v>
      </c>
      <c r="B76" s="7" t="s">
        <v>18</v>
      </c>
      <c r="C76" s="15">
        <v>91.1</v>
      </c>
      <c r="D76" s="24">
        <v>91.1</v>
      </c>
      <c r="E76" s="4">
        <v>1</v>
      </c>
      <c r="F76" s="18">
        <v>0.01</v>
      </c>
      <c r="G76" s="15">
        <v>90.1</v>
      </c>
      <c r="H76" s="24">
        <v>91.1</v>
      </c>
      <c r="I76" s="4">
        <v>3</v>
      </c>
      <c r="J76" s="18">
        <v>7.0000000000000007E-2</v>
      </c>
      <c r="K76" s="15">
        <v>78.099999999999994</v>
      </c>
      <c r="L76" s="24">
        <v>93.4</v>
      </c>
      <c r="M76" s="4">
        <v>4</v>
      </c>
      <c r="N76" s="18">
        <v>0.01</v>
      </c>
      <c r="O76" s="15">
        <v>78</v>
      </c>
      <c r="P76" s="24">
        <v>93.4</v>
      </c>
      <c r="Q76" s="4">
        <v>4</v>
      </c>
      <c r="R76" s="18">
        <v>0.01</v>
      </c>
      <c r="Z76" s="15">
        <v>80.900000000000006</v>
      </c>
      <c r="AA76" s="15">
        <v>81.2</v>
      </c>
      <c r="AB76" s="24">
        <v>83.7</v>
      </c>
      <c r="AC76" s="24">
        <v>83.7</v>
      </c>
    </row>
    <row r="77" spans="1:29" ht="23.25" x14ac:dyDescent="0.7">
      <c r="A77" s="21" t="s">
        <v>94</v>
      </c>
      <c r="B77" s="7" t="s">
        <v>18</v>
      </c>
      <c r="C77" s="15">
        <v>80.5</v>
      </c>
      <c r="D77" s="24">
        <v>83</v>
      </c>
      <c r="E77" s="4">
        <v>2</v>
      </c>
      <c r="F77" s="18">
        <v>0.01</v>
      </c>
      <c r="G77" s="15">
        <v>78</v>
      </c>
      <c r="H77" s="24">
        <v>83</v>
      </c>
      <c r="I77" s="4">
        <v>3</v>
      </c>
      <c r="J77" s="18" t="s">
        <v>97</v>
      </c>
      <c r="K77" s="15">
        <v>77.7</v>
      </c>
      <c r="L77" s="24">
        <v>80.2</v>
      </c>
      <c r="M77" s="4">
        <v>3</v>
      </c>
      <c r="N77" s="18">
        <v>0.01</v>
      </c>
      <c r="O77" s="15">
        <v>77.7</v>
      </c>
      <c r="P77" s="24">
        <v>80.2</v>
      </c>
      <c r="Q77" s="4">
        <v>3</v>
      </c>
      <c r="R77" s="18">
        <v>0.01</v>
      </c>
      <c r="Z77" s="15">
        <v>92.6</v>
      </c>
      <c r="AA77" s="15">
        <v>93</v>
      </c>
      <c r="AB77" s="24">
        <v>100.4</v>
      </c>
      <c r="AC77" s="24">
        <v>100.8</v>
      </c>
    </row>
    <row r="78" spans="1:29" ht="23.25" x14ac:dyDescent="0.7">
      <c r="A78" s="21" t="s">
        <v>95</v>
      </c>
      <c r="B78" s="7" t="s">
        <v>18</v>
      </c>
      <c r="C78" s="15">
        <v>81.599999999999994</v>
      </c>
      <c r="D78" s="24">
        <v>83.7</v>
      </c>
      <c r="E78" s="4">
        <v>3</v>
      </c>
      <c r="F78" s="18">
        <v>0.01</v>
      </c>
      <c r="G78" s="15">
        <v>81.8</v>
      </c>
      <c r="H78" s="24">
        <v>83.7</v>
      </c>
      <c r="I78" s="4">
        <v>2</v>
      </c>
      <c r="J78" s="18">
        <v>0.01</v>
      </c>
      <c r="K78" s="15">
        <v>82.9</v>
      </c>
      <c r="L78" s="24">
        <v>84.7</v>
      </c>
      <c r="M78" s="4">
        <v>2</v>
      </c>
      <c r="N78" s="18">
        <v>0.01</v>
      </c>
      <c r="O78" s="15">
        <v>81.7</v>
      </c>
      <c r="P78" s="24">
        <v>84.7</v>
      </c>
      <c r="Q78" s="4">
        <v>3</v>
      </c>
      <c r="R78" s="18">
        <v>0.01</v>
      </c>
      <c r="Z78" s="15">
        <v>89.7</v>
      </c>
      <c r="AA78" s="15">
        <v>95.2</v>
      </c>
      <c r="AB78" s="24">
        <v>100.4</v>
      </c>
      <c r="AC78" s="24">
        <v>99.8</v>
      </c>
    </row>
    <row r="79" spans="1:29" ht="23.25" x14ac:dyDescent="0.7">
      <c r="A79" s="21" t="s">
        <v>96</v>
      </c>
      <c r="B79" s="7" t="s">
        <v>18</v>
      </c>
      <c r="C79" s="15">
        <v>80.900000000000006</v>
      </c>
      <c r="D79" s="24">
        <v>83.7</v>
      </c>
      <c r="E79" s="4">
        <v>3</v>
      </c>
      <c r="F79" s="18">
        <v>0.01</v>
      </c>
      <c r="G79" s="15">
        <v>78.7</v>
      </c>
      <c r="H79" s="24">
        <v>83.7</v>
      </c>
      <c r="I79" s="4">
        <v>3</v>
      </c>
      <c r="J79" s="18">
        <v>0.02</v>
      </c>
      <c r="K79" s="15">
        <v>81.2</v>
      </c>
      <c r="L79" s="24">
        <v>83.7</v>
      </c>
      <c r="M79" s="4">
        <v>2</v>
      </c>
      <c r="N79" s="18">
        <v>0.01</v>
      </c>
      <c r="O79" s="15">
        <v>80.7</v>
      </c>
      <c r="P79" s="24">
        <v>83.7</v>
      </c>
      <c r="Q79" s="4">
        <v>3</v>
      </c>
      <c r="R79" s="18">
        <v>0.01</v>
      </c>
      <c r="Z79" s="15">
        <v>90.5</v>
      </c>
      <c r="AA79" s="15">
        <v>94</v>
      </c>
      <c r="AB79" s="24">
        <v>100.4</v>
      </c>
      <c r="AC79" s="24">
        <v>99.4</v>
      </c>
    </row>
    <row r="80" spans="1:29" ht="23.25" x14ac:dyDescent="0.7">
      <c r="A80" s="21" t="s">
        <v>92</v>
      </c>
      <c r="B80" s="1" t="s">
        <v>19</v>
      </c>
      <c r="C80" s="15">
        <v>92.6</v>
      </c>
      <c r="D80" s="24">
        <v>100.4</v>
      </c>
      <c r="E80" s="4">
        <v>1</v>
      </c>
      <c r="F80" s="18">
        <v>0.02</v>
      </c>
      <c r="G80" s="15">
        <v>91.2</v>
      </c>
      <c r="H80" s="24">
        <v>100.4</v>
      </c>
      <c r="I80" s="4">
        <v>3</v>
      </c>
      <c r="J80" s="18">
        <v>0.01</v>
      </c>
      <c r="K80" s="15">
        <v>93</v>
      </c>
      <c r="L80" s="24">
        <v>100.8</v>
      </c>
      <c r="M80" s="4">
        <v>2</v>
      </c>
      <c r="N80" s="18">
        <v>0.01</v>
      </c>
      <c r="O80" s="15">
        <v>99.1</v>
      </c>
      <c r="P80" s="24">
        <v>100.8</v>
      </c>
      <c r="Q80" s="4">
        <v>2</v>
      </c>
      <c r="R80" s="18">
        <v>0.01</v>
      </c>
      <c r="Z80" s="15">
        <v>90.1</v>
      </c>
      <c r="AA80" s="15">
        <v>96.4</v>
      </c>
      <c r="AB80" s="24">
        <v>100.4</v>
      </c>
      <c r="AC80" s="24">
        <v>99.8</v>
      </c>
    </row>
    <row r="81" spans="1:29" ht="23.25" x14ac:dyDescent="0.7">
      <c r="A81" s="21" t="s">
        <v>93</v>
      </c>
      <c r="B81" s="1" t="s">
        <v>19</v>
      </c>
      <c r="C81" s="15">
        <v>89.7</v>
      </c>
      <c r="D81" s="24">
        <v>100.4</v>
      </c>
      <c r="E81" s="4">
        <v>2</v>
      </c>
      <c r="F81" s="18">
        <v>0.01</v>
      </c>
      <c r="G81" s="15">
        <v>87.3</v>
      </c>
      <c r="H81" s="24">
        <v>100.4</v>
      </c>
      <c r="I81" s="4">
        <v>3</v>
      </c>
      <c r="J81" s="18">
        <v>0.01</v>
      </c>
      <c r="K81" s="15">
        <v>95.2</v>
      </c>
      <c r="L81" s="24">
        <v>99.8</v>
      </c>
      <c r="M81" s="4">
        <v>2</v>
      </c>
      <c r="N81" s="18">
        <v>0.01</v>
      </c>
      <c r="O81" s="15">
        <v>98.6</v>
      </c>
      <c r="P81" s="24">
        <v>0.02</v>
      </c>
      <c r="Q81" s="4">
        <v>2</v>
      </c>
      <c r="R81" s="18">
        <v>0.01</v>
      </c>
      <c r="Z81" s="15">
        <v>92.6</v>
      </c>
      <c r="AA81" s="15">
        <v>97.4</v>
      </c>
      <c r="AB81" s="24">
        <v>100.4</v>
      </c>
      <c r="AC81" s="24">
        <v>99.8</v>
      </c>
    </row>
    <row r="82" spans="1:29" ht="23.25" x14ac:dyDescent="0.7">
      <c r="A82" s="21" t="s">
        <v>94</v>
      </c>
      <c r="B82" s="1" t="s">
        <v>19</v>
      </c>
      <c r="C82" s="15">
        <v>90.5</v>
      </c>
      <c r="D82" s="24">
        <v>100.4</v>
      </c>
      <c r="E82" s="4">
        <v>2</v>
      </c>
      <c r="F82" s="18">
        <v>0.01</v>
      </c>
      <c r="G82" s="15">
        <v>88.1</v>
      </c>
      <c r="H82" s="24">
        <v>100.4</v>
      </c>
      <c r="I82" s="4">
        <v>3</v>
      </c>
      <c r="J82" s="18">
        <v>0.01</v>
      </c>
      <c r="K82" s="15">
        <v>94</v>
      </c>
      <c r="L82" s="24">
        <v>99.4</v>
      </c>
      <c r="M82" s="4">
        <v>2</v>
      </c>
      <c r="N82" s="18">
        <v>0.01</v>
      </c>
      <c r="O82" s="15">
        <v>98.7</v>
      </c>
      <c r="P82" s="24">
        <v>99.4</v>
      </c>
      <c r="Q82" s="4">
        <v>2</v>
      </c>
      <c r="R82" s="18">
        <v>0.02</v>
      </c>
      <c r="Z82" s="15">
        <v>80.2</v>
      </c>
      <c r="AA82" s="15">
        <v>82.6</v>
      </c>
      <c r="AB82" s="24">
        <v>91.7</v>
      </c>
      <c r="AC82" s="24">
        <v>91.1</v>
      </c>
    </row>
    <row r="83" spans="1:29" ht="23.25" x14ac:dyDescent="0.7">
      <c r="A83" s="21" t="s">
        <v>95</v>
      </c>
      <c r="B83" s="1" t="s">
        <v>19</v>
      </c>
      <c r="C83" s="15">
        <v>90.1</v>
      </c>
      <c r="D83" s="24">
        <v>100.4</v>
      </c>
      <c r="E83" s="4">
        <v>2</v>
      </c>
      <c r="F83" s="18">
        <v>0.01</v>
      </c>
      <c r="G83" s="15">
        <v>87.7</v>
      </c>
      <c r="H83" s="24">
        <v>100.4</v>
      </c>
      <c r="I83" s="4">
        <v>3</v>
      </c>
      <c r="J83" s="18">
        <v>0.01</v>
      </c>
      <c r="K83" s="15">
        <v>96.4</v>
      </c>
      <c r="L83" s="24">
        <v>99.8</v>
      </c>
      <c r="M83" s="4">
        <v>2</v>
      </c>
      <c r="N83" s="18">
        <v>0.01</v>
      </c>
      <c r="O83" s="15">
        <v>95.6</v>
      </c>
      <c r="P83" s="24">
        <v>99.8</v>
      </c>
      <c r="Q83" s="4">
        <v>2</v>
      </c>
      <c r="R83" s="18">
        <v>0.01</v>
      </c>
      <c r="Z83" s="15">
        <v>85.6</v>
      </c>
      <c r="AA83" s="15">
        <v>82.4</v>
      </c>
      <c r="AB83" s="24">
        <v>94.1</v>
      </c>
      <c r="AC83" s="24">
        <v>90.9</v>
      </c>
    </row>
    <row r="84" spans="1:29" ht="23.25" x14ac:dyDescent="0.7">
      <c r="A84" s="21" t="s">
        <v>96</v>
      </c>
      <c r="B84" s="1" t="s">
        <v>19</v>
      </c>
      <c r="C84" s="15">
        <v>92.6</v>
      </c>
      <c r="D84" s="24">
        <v>100.4</v>
      </c>
      <c r="E84" s="4">
        <v>1</v>
      </c>
      <c r="F84" s="18">
        <v>0.02</v>
      </c>
      <c r="G84" s="15">
        <v>90.2</v>
      </c>
      <c r="H84" s="24">
        <v>100.4</v>
      </c>
      <c r="I84" s="4">
        <v>2</v>
      </c>
      <c r="J84" s="18">
        <v>0.01</v>
      </c>
      <c r="K84" s="15">
        <v>97.4</v>
      </c>
      <c r="L84" s="24">
        <v>99.8</v>
      </c>
      <c r="M84" s="4">
        <v>2</v>
      </c>
      <c r="N84" s="18">
        <v>0.01</v>
      </c>
      <c r="O84" s="15">
        <v>99.8</v>
      </c>
      <c r="P84" s="24">
        <v>99.8</v>
      </c>
      <c r="Q84" s="4">
        <v>1</v>
      </c>
      <c r="R84" s="18">
        <v>0.01</v>
      </c>
      <c r="Z84" s="15">
        <v>80.3</v>
      </c>
      <c r="AA84" s="15">
        <v>86.6</v>
      </c>
      <c r="AB84" s="24">
        <v>92</v>
      </c>
      <c r="AC84" s="24">
        <v>95.1</v>
      </c>
    </row>
    <row r="85" spans="1:29" ht="23.25" x14ac:dyDescent="0.7">
      <c r="A85" s="22" t="s">
        <v>92</v>
      </c>
      <c r="B85" s="5" t="s">
        <v>20</v>
      </c>
      <c r="C85" s="15">
        <v>80.2</v>
      </c>
      <c r="D85" s="24">
        <v>91.7</v>
      </c>
      <c r="E85" s="4">
        <v>3</v>
      </c>
      <c r="F85" s="18">
        <v>0.02</v>
      </c>
      <c r="G85" s="15">
        <v>85.3</v>
      </c>
      <c r="H85" s="24">
        <v>91.7</v>
      </c>
      <c r="I85" s="4">
        <v>2</v>
      </c>
      <c r="J85" s="18">
        <v>0.01</v>
      </c>
      <c r="K85" s="15">
        <v>82.6</v>
      </c>
      <c r="L85" s="24">
        <v>91.1</v>
      </c>
      <c r="M85" s="4">
        <v>3</v>
      </c>
      <c r="N85" s="18">
        <v>0.01</v>
      </c>
      <c r="O85" s="15">
        <v>91.1</v>
      </c>
      <c r="P85" s="24">
        <v>91.1</v>
      </c>
      <c r="Q85" s="4">
        <v>2</v>
      </c>
      <c r="R85" s="18">
        <v>0.01</v>
      </c>
      <c r="Z85" s="15">
        <v>78.7</v>
      </c>
      <c r="AA85" s="15">
        <v>82.5</v>
      </c>
      <c r="AB85" s="24">
        <v>90.5</v>
      </c>
      <c r="AC85" s="24">
        <v>91</v>
      </c>
    </row>
    <row r="86" spans="1:29" ht="23.25" x14ac:dyDescent="0.7">
      <c r="A86" s="22" t="s">
        <v>93</v>
      </c>
      <c r="B86" s="5" t="s">
        <v>20</v>
      </c>
      <c r="C86" s="15">
        <v>85.6</v>
      </c>
      <c r="D86" s="24">
        <v>94.1</v>
      </c>
      <c r="E86" s="4">
        <v>1</v>
      </c>
      <c r="F86" s="18">
        <v>0.02</v>
      </c>
      <c r="G86" s="15">
        <v>86.7</v>
      </c>
      <c r="H86" s="24">
        <v>94.1</v>
      </c>
      <c r="I86" s="4">
        <v>1</v>
      </c>
      <c r="J86" s="18">
        <v>0.03</v>
      </c>
      <c r="K86" s="15">
        <v>82.4</v>
      </c>
      <c r="L86" s="24">
        <v>90.9</v>
      </c>
      <c r="M86" s="4">
        <v>3</v>
      </c>
      <c r="N86" s="18">
        <v>0.01</v>
      </c>
      <c r="O86" s="15">
        <v>90.9</v>
      </c>
      <c r="P86" s="24">
        <v>90.9</v>
      </c>
      <c r="Q86" s="4">
        <v>2</v>
      </c>
      <c r="R86" s="18">
        <v>0.01</v>
      </c>
      <c r="Z86" s="15">
        <v>80.599999999999994</v>
      </c>
      <c r="AA86" s="15">
        <v>91.8</v>
      </c>
      <c r="AB86" s="24">
        <v>92</v>
      </c>
      <c r="AC86" s="24">
        <v>100.3</v>
      </c>
    </row>
    <row r="87" spans="1:29" ht="23.25" x14ac:dyDescent="0.7">
      <c r="A87" s="22" t="s">
        <v>94</v>
      </c>
      <c r="B87" s="5" t="s">
        <v>20</v>
      </c>
      <c r="C87" s="15">
        <v>80.3</v>
      </c>
      <c r="D87" s="24">
        <v>92</v>
      </c>
      <c r="E87" s="4">
        <v>3</v>
      </c>
      <c r="F87" s="18">
        <v>0.05</v>
      </c>
      <c r="G87" s="15">
        <v>85.6</v>
      </c>
      <c r="H87" s="24">
        <v>92</v>
      </c>
      <c r="I87" s="4">
        <v>2</v>
      </c>
      <c r="J87" s="18">
        <v>0.01</v>
      </c>
      <c r="K87" s="15">
        <v>86.6</v>
      </c>
      <c r="L87" s="24">
        <v>95.1</v>
      </c>
      <c r="M87" s="4">
        <v>2</v>
      </c>
      <c r="N87" s="18">
        <v>0.01</v>
      </c>
      <c r="O87" s="15">
        <v>95.1</v>
      </c>
      <c r="P87" s="24">
        <v>95.1</v>
      </c>
      <c r="Q87" s="4">
        <v>1</v>
      </c>
      <c r="R87" s="18">
        <v>0.01</v>
      </c>
      <c r="Z87" s="15">
        <v>79.099999999999994</v>
      </c>
      <c r="AA87" s="15">
        <v>91.7</v>
      </c>
      <c r="AB87" s="24">
        <v>98.7</v>
      </c>
      <c r="AC87" s="24">
        <v>104.6</v>
      </c>
    </row>
    <row r="88" spans="1:29" ht="23.25" x14ac:dyDescent="0.7">
      <c r="A88" s="22" t="s">
        <v>95</v>
      </c>
      <c r="B88" s="5" t="s">
        <v>20</v>
      </c>
      <c r="C88" s="15">
        <v>78.7</v>
      </c>
      <c r="D88" s="24">
        <v>90.5</v>
      </c>
      <c r="E88" s="4">
        <v>3</v>
      </c>
      <c r="F88" s="18">
        <v>0.05</v>
      </c>
      <c r="G88" s="15">
        <v>84.1</v>
      </c>
      <c r="H88" s="24">
        <v>90.5</v>
      </c>
      <c r="I88" s="4">
        <v>2</v>
      </c>
      <c r="J88" s="18">
        <v>0.01</v>
      </c>
      <c r="K88" s="15">
        <v>82.5</v>
      </c>
      <c r="L88" s="24">
        <v>91</v>
      </c>
      <c r="M88" s="4">
        <v>3</v>
      </c>
      <c r="N88" s="18">
        <v>0.01</v>
      </c>
      <c r="O88" s="15">
        <v>91</v>
      </c>
      <c r="P88" s="24">
        <v>91</v>
      </c>
      <c r="Q88" s="4">
        <v>2</v>
      </c>
      <c r="R88" s="18">
        <v>0.01</v>
      </c>
      <c r="Z88" s="15">
        <v>90.7</v>
      </c>
      <c r="AA88" s="15">
        <v>91.4</v>
      </c>
      <c r="AB88" s="24">
        <v>111.7</v>
      </c>
      <c r="AC88" s="24">
        <v>106.6</v>
      </c>
    </row>
    <row r="89" spans="1:29" ht="23.25" x14ac:dyDescent="0.7">
      <c r="A89" s="22" t="s">
        <v>96</v>
      </c>
      <c r="B89" s="5" t="s">
        <v>20</v>
      </c>
      <c r="C89" s="15">
        <v>80.599999999999994</v>
      </c>
      <c r="D89" s="24">
        <v>92</v>
      </c>
      <c r="E89" s="4">
        <v>3</v>
      </c>
      <c r="F89" s="18">
        <v>0.01</v>
      </c>
      <c r="G89" s="15">
        <v>85.6</v>
      </c>
      <c r="H89" s="24">
        <v>92</v>
      </c>
      <c r="I89" s="4">
        <v>2</v>
      </c>
      <c r="J89" s="18">
        <v>0.01</v>
      </c>
      <c r="K89" s="15">
        <v>91.8</v>
      </c>
      <c r="L89" s="24">
        <v>100.3</v>
      </c>
      <c r="M89" s="4">
        <v>2</v>
      </c>
      <c r="N89" s="18">
        <v>0.01</v>
      </c>
      <c r="O89" s="15">
        <v>100.3</v>
      </c>
      <c r="P89" s="24">
        <v>100.3</v>
      </c>
      <c r="Q89" s="4">
        <v>1</v>
      </c>
      <c r="R89" s="18">
        <v>0.02</v>
      </c>
      <c r="Z89" s="15">
        <v>80.2</v>
      </c>
      <c r="AA89" s="15">
        <v>101</v>
      </c>
      <c r="AB89" s="24">
        <v>102.6</v>
      </c>
      <c r="AC89" s="24">
        <v>109.5</v>
      </c>
    </row>
    <row r="90" spans="1:29" ht="23.25" x14ac:dyDescent="0.7">
      <c r="A90" s="21" t="s">
        <v>92</v>
      </c>
      <c r="B90" s="19" t="s">
        <v>21</v>
      </c>
      <c r="C90" s="15">
        <v>79.099999999999994</v>
      </c>
      <c r="D90" s="24">
        <v>98.7</v>
      </c>
      <c r="E90" s="4">
        <v>4</v>
      </c>
      <c r="F90" s="18">
        <v>0.01</v>
      </c>
      <c r="G90" s="15">
        <v>84.9</v>
      </c>
      <c r="H90" s="24">
        <v>98.7</v>
      </c>
      <c r="I90" s="4">
        <v>4</v>
      </c>
      <c r="J90" s="18">
        <v>0.01</v>
      </c>
      <c r="K90" s="15">
        <v>91.7</v>
      </c>
      <c r="L90" s="24">
        <v>104.6</v>
      </c>
      <c r="M90" s="4">
        <v>4</v>
      </c>
      <c r="N90" s="18">
        <v>0.01</v>
      </c>
      <c r="O90" s="15">
        <v>100.2</v>
      </c>
      <c r="P90" s="24">
        <v>104.6</v>
      </c>
      <c r="Q90" s="4">
        <v>2</v>
      </c>
      <c r="R90" s="18">
        <v>0.01</v>
      </c>
      <c r="Z90" s="15">
        <v>99.1</v>
      </c>
      <c r="AA90" s="15">
        <v>90.3</v>
      </c>
      <c r="AB90" s="24">
        <v>119.8</v>
      </c>
      <c r="AC90" s="24">
        <v>99.6</v>
      </c>
    </row>
    <row r="91" spans="1:29" ht="23.25" x14ac:dyDescent="0.7">
      <c r="A91" s="21" t="s">
        <v>93</v>
      </c>
      <c r="B91" s="19" t="s">
        <v>21</v>
      </c>
      <c r="C91" s="15">
        <v>90.7</v>
      </c>
      <c r="D91" s="24">
        <v>111.7</v>
      </c>
      <c r="E91" s="4">
        <v>3</v>
      </c>
      <c r="F91" s="18">
        <v>0.03</v>
      </c>
      <c r="G91" s="15">
        <v>86.6</v>
      </c>
      <c r="H91" s="24">
        <v>111.7</v>
      </c>
      <c r="I91" s="4">
        <v>4</v>
      </c>
      <c r="J91" s="18">
        <v>0.03</v>
      </c>
      <c r="K91" s="15">
        <v>91.4</v>
      </c>
      <c r="L91" s="24">
        <v>106.6</v>
      </c>
      <c r="M91" s="4">
        <v>4</v>
      </c>
      <c r="N91" s="18">
        <v>0.01</v>
      </c>
      <c r="O91" s="15">
        <v>97.4</v>
      </c>
      <c r="P91" s="24">
        <v>106.6</v>
      </c>
      <c r="Q91" s="4">
        <v>4</v>
      </c>
      <c r="R91" s="18">
        <v>0.01</v>
      </c>
      <c r="Z91" s="15">
        <v>90.7</v>
      </c>
      <c r="AA91" s="15">
        <v>89.4</v>
      </c>
      <c r="AB91" s="24">
        <v>111.7</v>
      </c>
      <c r="AC91" s="24">
        <v>106.7</v>
      </c>
    </row>
    <row r="92" spans="1:29" ht="23.25" x14ac:dyDescent="0.7">
      <c r="A92" s="21" t="s">
        <v>94</v>
      </c>
      <c r="B92" s="19" t="s">
        <v>21</v>
      </c>
      <c r="C92" s="15">
        <v>80.2</v>
      </c>
      <c r="D92" s="24">
        <v>102.6</v>
      </c>
      <c r="E92" s="4">
        <v>5</v>
      </c>
      <c r="F92" s="18">
        <v>0.02</v>
      </c>
      <c r="G92" s="15">
        <v>95.9</v>
      </c>
      <c r="H92" s="24">
        <v>102.6</v>
      </c>
      <c r="I92" s="4">
        <v>2</v>
      </c>
      <c r="J92" s="18">
        <v>0.01</v>
      </c>
      <c r="K92" s="15">
        <v>101</v>
      </c>
      <c r="L92" s="24">
        <v>109.5</v>
      </c>
      <c r="M92" s="4">
        <v>3</v>
      </c>
      <c r="N92" s="18">
        <v>0.01</v>
      </c>
      <c r="O92" s="15">
        <v>105.1</v>
      </c>
      <c r="P92" s="24">
        <v>109.5</v>
      </c>
      <c r="Q92" s="4">
        <v>2</v>
      </c>
      <c r="R92" s="18">
        <v>0.02</v>
      </c>
      <c r="Z92" s="15">
        <v>93.9</v>
      </c>
      <c r="AA92" s="15">
        <v>91.8</v>
      </c>
      <c r="AB92" s="24">
        <v>111.7</v>
      </c>
      <c r="AC92" s="24">
        <v>109.4</v>
      </c>
    </row>
    <row r="93" spans="1:29" ht="23.25" x14ac:dyDescent="0.7">
      <c r="A93" s="21" t="s">
        <v>95</v>
      </c>
      <c r="B93" s="19" t="s">
        <v>21</v>
      </c>
      <c r="C93" s="15">
        <v>99.1</v>
      </c>
      <c r="D93" s="24">
        <v>119.8</v>
      </c>
      <c r="E93" s="4">
        <v>5</v>
      </c>
      <c r="F93" s="18">
        <v>0.04</v>
      </c>
      <c r="G93" s="15">
        <v>102.9</v>
      </c>
      <c r="H93" s="24">
        <v>119.8</v>
      </c>
      <c r="I93" s="4">
        <v>5</v>
      </c>
      <c r="J93" s="18">
        <v>0.1</v>
      </c>
      <c r="K93" s="15">
        <v>90.3</v>
      </c>
      <c r="L93" s="24">
        <v>99.6</v>
      </c>
      <c r="M93" s="4">
        <v>4</v>
      </c>
      <c r="N93" s="18">
        <v>0.01</v>
      </c>
      <c r="O93" s="15">
        <v>99.6</v>
      </c>
      <c r="P93" s="24">
        <v>99.6</v>
      </c>
      <c r="Q93" s="4">
        <v>1</v>
      </c>
      <c r="R93" s="18">
        <v>0.01</v>
      </c>
      <c r="Z93" s="15">
        <v>93.5</v>
      </c>
      <c r="AA93" s="15">
        <v>108.5</v>
      </c>
      <c r="AB93" s="24">
        <v>111.7</v>
      </c>
      <c r="AC93" s="24">
        <v>118.2</v>
      </c>
    </row>
    <row r="94" spans="1:29" ht="23.25" x14ac:dyDescent="0.7">
      <c r="A94" s="21" t="s">
        <v>96</v>
      </c>
      <c r="B94" s="19" t="s">
        <v>21</v>
      </c>
      <c r="C94" s="15">
        <v>90.7</v>
      </c>
      <c r="D94" s="24">
        <v>111.7</v>
      </c>
      <c r="E94" s="4">
        <v>3</v>
      </c>
      <c r="F94" s="18">
        <v>0.03</v>
      </c>
      <c r="G94" s="15">
        <v>86.6</v>
      </c>
      <c r="H94" s="24">
        <v>111.7</v>
      </c>
      <c r="I94" s="4">
        <v>4</v>
      </c>
      <c r="J94" s="18">
        <v>0.03</v>
      </c>
      <c r="K94" s="15">
        <v>89.4</v>
      </c>
      <c r="L94" s="24">
        <v>106.7</v>
      </c>
      <c r="M94" s="4">
        <v>4</v>
      </c>
      <c r="N94" s="18">
        <v>0.01</v>
      </c>
      <c r="O94" s="15">
        <v>98.3</v>
      </c>
      <c r="P94" s="24">
        <v>106.7</v>
      </c>
      <c r="Q94" s="4">
        <v>4</v>
      </c>
      <c r="R94" s="18">
        <v>0.01</v>
      </c>
      <c r="Z94" s="15">
        <v>94.7</v>
      </c>
      <c r="AA94" s="15">
        <v>93.6</v>
      </c>
      <c r="AB94" s="24">
        <v>111.7</v>
      </c>
      <c r="AC94" s="24">
        <v>109.4</v>
      </c>
    </row>
    <row r="95" spans="1:29" ht="23.25" x14ac:dyDescent="0.7">
      <c r="A95" s="22" t="s">
        <v>92</v>
      </c>
      <c r="B95" s="20" t="s">
        <v>22</v>
      </c>
      <c r="C95" s="15">
        <v>93.9</v>
      </c>
      <c r="D95" s="24">
        <v>111.7</v>
      </c>
      <c r="E95" s="4">
        <v>3</v>
      </c>
      <c r="F95" s="18">
        <v>0.06</v>
      </c>
      <c r="G95" s="15">
        <v>92.1</v>
      </c>
      <c r="H95" s="24">
        <v>111.7</v>
      </c>
      <c r="I95" s="4">
        <v>4</v>
      </c>
      <c r="J95" s="18">
        <v>0.1</v>
      </c>
      <c r="K95" s="15">
        <v>91.8</v>
      </c>
      <c r="L95" s="24">
        <v>109.4</v>
      </c>
      <c r="M95" s="4">
        <v>4</v>
      </c>
      <c r="N95" s="18">
        <v>0.01</v>
      </c>
      <c r="O95" s="15">
        <v>98.6</v>
      </c>
      <c r="P95" s="24">
        <v>109.4</v>
      </c>
      <c r="Q95" s="4">
        <v>4</v>
      </c>
      <c r="R95" s="18">
        <v>0.01</v>
      </c>
      <c r="Z95" s="15">
        <v>94.3</v>
      </c>
      <c r="AA95" s="15">
        <v>94.9</v>
      </c>
      <c r="AB95" s="24">
        <v>111.7</v>
      </c>
      <c r="AC95" s="24">
        <v>109.4</v>
      </c>
    </row>
    <row r="96" spans="1:29" ht="23.25" x14ac:dyDescent="0.7">
      <c r="A96" s="22" t="s">
        <v>93</v>
      </c>
      <c r="B96" s="20" t="s">
        <v>22</v>
      </c>
      <c r="C96" s="15">
        <v>93.5</v>
      </c>
      <c r="D96" s="24">
        <v>111.7</v>
      </c>
      <c r="E96" s="4">
        <v>3</v>
      </c>
      <c r="F96" s="18">
        <v>0.06</v>
      </c>
      <c r="G96" s="15">
        <v>92.6</v>
      </c>
      <c r="H96" s="24">
        <v>111.7</v>
      </c>
      <c r="I96" s="4">
        <v>4</v>
      </c>
      <c r="J96" s="18">
        <v>0.1</v>
      </c>
      <c r="K96" s="15">
        <v>108.5</v>
      </c>
      <c r="L96" s="24">
        <v>118.2</v>
      </c>
      <c r="M96" s="4">
        <v>3</v>
      </c>
      <c r="N96" s="18">
        <v>0.01</v>
      </c>
      <c r="O96" s="15">
        <v>106.5</v>
      </c>
      <c r="P96" s="24">
        <v>118.2</v>
      </c>
      <c r="Q96" s="4">
        <v>4</v>
      </c>
      <c r="R96" s="18">
        <v>0.03</v>
      </c>
      <c r="Z96" s="15">
        <v>96.7</v>
      </c>
      <c r="AA96" s="15">
        <v>94.4</v>
      </c>
      <c r="AB96" s="24">
        <v>111.7</v>
      </c>
      <c r="AC96" s="24">
        <v>109.4</v>
      </c>
    </row>
    <row r="97" spans="1:29" ht="23.25" x14ac:dyDescent="0.7">
      <c r="A97" s="22" t="s">
        <v>94</v>
      </c>
      <c r="B97" s="20" t="s">
        <v>22</v>
      </c>
      <c r="C97" s="15">
        <v>94.7</v>
      </c>
      <c r="D97" s="24">
        <v>111.7</v>
      </c>
      <c r="E97" s="4">
        <v>3</v>
      </c>
      <c r="F97" s="18">
        <v>0.06</v>
      </c>
      <c r="G97" s="15">
        <v>93.4</v>
      </c>
      <c r="H97" s="24">
        <v>111.7</v>
      </c>
      <c r="I97" s="4">
        <v>6</v>
      </c>
      <c r="J97" s="18">
        <v>0.1</v>
      </c>
      <c r="K97" s="15">
        <v>93.6</v>
      </c>
      <c r="L97" s="24">
        <v>109.4</v>
      </c>
      <c r="M97" s="4">
        <v>4</v>
      </c>
      <c r="N97" s="18">
        <v>0.01</v>
      </c>
      <c r="O97" s="15">
        <v>99.9</v>
      </c>
      <c r="P97" s="24">
        <v>109.4</v>
      </c>
      <c r="Q97" s="4">
        <v>4</v>
      </c>
      <c r="R97" s="18">
        <v>0.01</v>
      </c>
      <c r="Z97" s="15">
        <v>92.3</v>
      </c>
      <c r="AA97" s="15">
        <v>94.8</v>
      </c>
      <c r="AB97" s="24">
        <v>97.9</v>
      </c>
      <c r="AC97" s="24">
        <v>98.9</v>
      </c>
    </row>
    <row r="98" spans="1:29" ht="23.25" x14ac:dyDescent="0.7">
      <c r="A98" s="22" t="s">
        <v>95</v>
      </c>
      <c r="B98" s="20" t="s">
        <v>22</v>
      </c>
      <c r="C98" s="15">
        <v>94.3</v>
      </c>
      <c r="D98" s="24">
        <v>111.7</v>
      </c>
      <c r="E98" s="4">
        <v>3</v>
      </c>
      <c r="F98" s="18">
        <v>0.06</v>
      </c>
      <c r="G98" s="15">
        <v>92.9</v>
      </c>
      <c r="H98" s="24">
        <v>111.7</v>
      </c>
      <c r="I98" s="4">
        <v>6</v>
      </c>
      <c r="J98" s="18">
        <v>0.1</v>
      </c>
      <c r="K98" s="15">
        <v>94.9</v>
      </c>
      <c r="L98" s="24">
        <v>109.4</v>
      </c>
      <c r="M98" s="4">
        <v>4</v>
      </c>
      <c r="N98" s="18">
        <v>0.01</v>
      </c>
      <c r="O98" s="15">
        <v>100.3</v>
      </c>
      <c r="P98" s="24">
        <v>109.4</v>
      </c>
      <c r="Q98" s="4">
        <v>4</v>
      </c>
      <c r="R98" s="18">
        <v>0.01</v>
      </c>
      <c r="Z98" s="15">
        <v>91.1</v>
      </c>
      <c r="AA98" s="15">
        <v>95.6</v>
      </c>
      <c r="AB98" s="24">
        <v>97.9</v>
      </c>
      <c r="AC98" s="24">
        <v>98.9</v>
      </c>
    </row>
    <row r="99" spans="1:29" ht="23.25" x14ac:dyDescent="0.7">
      <c r="A99" s="22" t="s">
        <v>96</v>
      </c>
      <c r="B99" s="20" t="s">
        <v>22</v>
      </c>
      <c r="C99" s="15">
        <v>96.7</v>
      </c>
      <c r="D99" s="24">
        <v>111.7</v>
      </c>
      <c r="E99" s="4">
        <v>3</v>
      </c>
      <c r="F99" s="18">
        <v>0.01</v>
      </c>
      <c r="G99" s="15">
        <v>92.7</v>
      </c>
      <c r="H99" s="24">
        <v>111.7</v>
      </c>
      <c r="I99" s="4">
        <v>5</v>
      </c>
      <c r="J99" s="18">
        <v>0.1</v>
      </c>
      <c r="K99" s="15">
        <v>94.4</v>
      </c>
      <c r="L99" s="24">
        <v>109.4</v>
      </c>
      <c r="M99" s="4">
        <v>4</v>
      </c>
      <c r="N99" s="18">
        <v>0.01</v>
      </c>
      <c r="O99" s="15">
        <v>99.5</v>
      </c>
      <c r="P99" s="24">
        <v>109.4</v>
      </c>
      <c r="Q99" s="4">
        <v>4</v>
      </c>
      <c r="R99" s="18">
        <v>0.01</v>
      </c>
      <c r="Z99" s="15">
        <v>91.5</v>
      </c>
      <c r="AA99" s="15">
        <v>94.7</v>
      </c>
      <c r="AB99" s="24">
        <v>97.9</v>
      </c>
      <c r="AC99" s="24">
        <v>98.9</v>
      </c>
    </row>
    <row r="100" spans="1:29" ht="23.25" x14ac:dyDescent="0.7">
      <c r="A100" s="21"/>
      <c r="B100" s="7" t="s">
        <v>23</v>
      </c>
      <c r="C100" s="15">
        <v>92.3</v>
      </c>
      <c r="D100" s="24">
        <v>97.9</v>
      </c>
      <c r="E100" s="4">
        <v>4</v>
      </c>
      <c r="F100" s="18">
        <v>0.02</v>
      </c>
      <c r="G100" s="15">
        <v>93.6</v>
      </c>
      <c r="H100" s="24">
        <v>97.9</v>
      </c>
      <c r="I100" s="4">
        <v>2</v>
      </c>
      <c r="J100" s="18">
        <v>0.01</v>
      </c>
      <c r="K100" s="15">
        <v>94.8</v>
      </c>
      <c r="L100" s="24">
        <v>98.9</v>
      </c>
      <c r="M100" s="4">
        <v>2</v>
      </c>
      <c r="N100" s="18">
        <v>0.01</v>
      </c>
      <c r="O100" s="15">
        <v>96.7</v>
      </c>
      <c r="P100" s="24">
        <v>98.9</v>
      </c>
      <c r="Q100" s="4">
        <v>2</v>
      </c>
      <c r="R100" s="18">
        <v>0.01</v>
      </c>
      <c r="Z100" s="15">
        <v>93.1</v>
      </c>
      <c r="AA100" s="15">
        <v>96.2</v>
      </c>
      <c r="AB100" s="24">
        <v>97.9</v>
      </c>
      <c r="AC100" s="24">
        <v>98.9</v>
      </c>
    </row>
    <row r="101" spans="1:29" ht="23.25" x14ac:dyDescent="0.7">
      <c r="A101" s="21" t="s">
        <v>93</v>
      </c>
      <c r="B101" s="7" t="s">
        <v>23</v>
      </c>
      <c r="C101" s="15">
        <v>91.1</v>
      </c>
      <c r="D101" s="24">
        <v>97.9</v>
      </c>
      <c r="E101" s="4">
        <v>4</v>
      </c>
      <c r="F101" s="18">
        <v>0.02</v>
      </c>
      <c r="G101" s="15">
        <v>94.8</v>
      </c>
      <c r="H101" s="24">
        <v>97.9</v>
      </c>
      <c r="I101" s="4">
        <v>2</v>
      </c>
      <c r="J101" s="18">
        <v>0.01</v>
      </c>
      <c r="K101" s="15">
        <v>95.6</v>
      </c>
      <c r="L101" s="24">
        <v>98.9</v>
      </c>
      <c r="M101" s="4">
        <v>2</v>
      </c>
      <c r="N101" s="18">
        <v>0.01</v>
      </c>
      <c r="O101" s="15">
        <v>98.3</v>
      </c>
      <c r="P101" s="24">
        <v>98.9</v>
      </c>
      <c r="Q101" s="4">
        <v>2</v>
      </c>
      <c r="R101" s="18">
        <v>0.01</v>
      </c>
      <c r="Z101" s="15">
        <v>101.2</v>
      </c>
      <c r="AA101" s="15">
        <v>95.2</v>
      </c>
      <c r="AB101" s="24">
        <v>111.6</v>
      </c>
      <c r="AC101" s="24">
        <v>98.9</v>
      </c>
    </row>
    <row r="102" spans="1:29" ht="23.25" x14ac:dyDescent="0.7">
      <c r="A102" s="21" t="s">
        <v>94</v>
      </c>
      <c r="B102" s="7" t="s">
        <v>23</v>
      </c>
      <c r="C102" s="15">
        <v>91.5</v>
      </c>
      <c r="D102" s="24">
        <v>97.9</v>
      </c>
      <c r="E102" s="4">
        <v>4</v>
      </c>
      <c r="F102" s="18">
        <v>0.02</v>
      </c>
      <c r="G102" s="15">
        <v>93.4</v>
      </c>
      <c r="H102" s="24">
        <v>97.9</v>
      </c>
      <c r="I102" s="4">
        <v>2</v>
      </c>
      <c r="J102" s="18">
        <v>0.01</v>
      </c>
      <c r="K102" s="15">
        <v>94.7</v>
      </c>
      <c r="L102" s="24">
        <v>98.9</v>
      </c>
      <c r="M102" s="4">
        <v>2</v>
      </c>
      <c r="N102" s="18">
        <v>0.01</v>
      </c>
      <c r="O102" s="15">
        <v>96.7</v>
      </c>
      <c r="P102" s="24">
        <v>98.9</v>
      </c>
      <c r="Q102" s="4">
        <v>2</v>
      </c>
      <c r="R102" s="18">
        <v>0.01</v>
      </c>
      <c r="Z102" s="15">
        <v>96.7</v>
      </c>
      <c r="AA102" s="15">
        <v>90.9</v>
      </c>
      <c r="AB102" s="24">
        <v>109.8</v>
      </c>
      <c r="AC102" s="24">
        <v>96</v>
      </c>
    </row>
    <row r="103" spans="1:29" ht="23.25" x14ac:dyDescent="0.7">
      <c r="A103" s="21" t="s">
        <v>95</v>
      </c>
      <c r="B103" s="7" t="s">
        <v>23</v>
      </c>
      <c r="C103" s="15">
        <v>93.1</v>
      </c>
      <c r="D103" s="24">
        <v>97.9</v>
      </c>
      <c r="E103" s="4">
        <v>4</v>
      </c>
      <c r="F103" s="18">
        <v>0.02</v>
      </c>
      <c r="G103" s="15">
        <v>95</v>
      </c>
      <c r="H103" s="24">
        <v>97.9</v>
      </c>
      <c r="I103" s="4">
        <v>2</v>
      </c>
      <c r="J103" s="18">
        <v>0.01</v>
      </c>
      <c r="K103" s="15">
        <v>96.2</v>
      </c>
      <c r="L103" s="24">
        <v>98.9</v>
      </c>
      <c r="M103" s="4">
        <v>2</v>
      </c>
      <c r="N103" s="18">
        <v>0.01</v>
      </c>
      <c r="O103" s="15">
        <v>97.2</v>
      </c>
      <c r="P103" s="24">
        <v>98.9</v>
      </c>
      <c r="Q103" s="4">
        <v>2</v>
      </c>
      <c r="R103" s="18">
        <v>0.01</v>
      </c>
      <c r="Z103" s="15">
        <v>97.9</v>
      </c>
      <c r="AA103" s="15">
        <v>90.3</v>
      </c>
      <c r="AB103" s="24">
        <v>109.8</v>
      </c>
      <c r="AC103" s="24">
        <v>96</v>
      </c>
    </row>
    <row r="104" spans="1:29" ht="23.25" x14ac:dyDescent="0.7">
      <c r="A104" s="21" t="s">
        <v>96</v>
      </c>
      <c r="B104" s="7" t="s">
        <v>23</v>
      </c>
      <c r="C104" s="15">
        <v>101.2</v>
      </c>
      <c r="D104" s="24">
        <v>111.6</v>
      </c>
      <c r="E104" s="4">
        <v>3</v>
      </c>
      <c r="F104" s="18">
        <v>0.02</v>
      </c>
      <c r="G104" s="15">
        <v>101.2</v>
      </c>
      <c r="H104" s="24">
        <v>111.6</v>
      </c>
      <c r="I104" s="4">
        <v>3</v>
      </c>
      <c r="J104" s="18">
        <v>0.02</v>
      </c>
      <c r="K104" s="15">
        <v>95.2</v>
      </c>
      <c r="L104" s="24">
        <v>98.9</v>
      </c>
      <c r="M104" s="4">
        <v>2</v>
      </c>
      <c r="N104" s="18">
        <v>0.01</v>
      </c>
      <c r="O104" s="15">
        <v>98.6</v>
      </c>
      <c r="P104" s="24">
        <v>98.9</v>
      </c>
      <c r="Q104" s="4">
        <v>2</v>
      </c>
      <c r="R104" s="18">
        <v>0.01</v>
      </c>
      <c r="Z104" s="15">
        <v>98.8</v>
      </c>
      <c r="AA104" s="15">
        <v>92.1</v>
      </c>
      <c r="AB104" s="24">
        <v>109.8</v>
      </c>
      <c r="AC104" s="24">
        <v>96</v>
      </c>
    </row>
    <row r="105" spans="1:29" ht="23.25" x14ac:dyDescent="0.7">
      <c r="Z105" s="15">
        <v>91.2</v>
      </c>
      <c r="AA105" s="15">
        <v>93.1</v>
      </c>
      <c r="AB105" s="24">
        <v>109.8</v>
      </c>
      <c r="AC105" s="24">
        <v>96</v>
      </c>
    </row>
    <row r="106" spans="1:29" ht="23.25" x14ac:dyDescent="0.7">
      <c r="Z106" s="15">
        <v>95.8</v>
      </c>
      <c r="AA106" s="15">
        <v>94.1</v>
      </c>
      <c r="AB106" s="24">
        <v>109.8</v>
      </c>
      <c r="AC106" s="24">
        <v>96</v>
      </c>
    </row>
    <row r="107" spans="1:29" ht="23.25" x14ac:dyDescent="0.7">
      <c r="Z107" s="15">
        <v>77.599999999999994</v>
      </c>
      <c r="AA107" s="15">
        <v>84.7</v>
      </c>
      <c r="AB107" s="24">
        <v>97.3</v>
      </c>
      <c r="AC107" s="24">
        <v>90.6</v>
      </c>
    </row>
    <row r="108" spans="1:29" ht="23.25" x14ac:dyDescent="0.7">
      <c r="Z108" s="15">
        <v>83.1</v>
      </c>
      <c r="AA108" s="15">
        <v>84.4</v>
      </c>
      <c r="AB108" s="24">
        <v>90.8</v>
      </c>
      <c r="AC108" s="24">
        <v>85.2</v>
      </c>
    </row>
    <row r="109" spans="1:29" ht="23.25" x14ac:dyDescent="0.7">
      <c r="Z109" s="15">
        <v>82.1</v>
      </c>
      <c r="AA109" s="15">
        <v>83.6</v>
      </c>
      <c r="AB109" s="24">
        <v>90.8</v>
      </c>
      <c r="AC109" s="24">
        <v>85.2</v>
      </c>
    </row>
    <row r="110" spans="1:29" ht="23.25" x14ac:dyDescent="0.7">
      <c r="Z110" s="15">
        <v>79.599999999999994</v>
      </c>
      <c r="AA110" s="15">
        <v>85.4</v>
      </c>
      <c r="AB110" s="24">
        <v>97.3</v>
      </c>
      <c r="AC110" s="24">
        <v>90.6</v>
      </c>
    </row>
    <row r="111" spans="1:29" ht="23.25" x14ac:dyDescent="0.7">
      <c r="Z111" s="15">
        <v>78.099999999999994</v>
      </c>
      <c r="AA111" s="15">
        <v>83.5</v>
      </c>
      <c r="AB111" s="24">
        <v>85.2</v>
      </c>
      <c r="AC111" s="24">
        <v>83.5</v>
      </c>
    </row>
    <row r="112" spans="1:29" ht="23.25" x14ac:dyDescent="0.7">
      <c r="Z112" s="15">
        <v>86.6</v>
      </c>
      <c r="AA112" s="15">
        <v>81.599999999999994</v>
      </c>
      <c r="AB112" s="24">
        <v>97.2</v>
      </c>
      <c r="AC112" s="24">
        <v>91.4</v>
      </c>
    </row>
    <row r="113" spans="26:29" ht="23.25" x14ac:dyDescent="0.7">
      <c r="Z113" s="15">
        <v>89</v>
      </c>
      <c r="AA113" s="15">
        <v>82.8</v>
      </c>
      <c r="AB113" s="24">
        <v>97.2</v>
      </c>
      <c r="AC113" s="24">
        <v>91.4</v>
      </c>
    </row>
    <row r="114" spans="26:29" ht="23.25" x14ac:dyDescent="0.7">
      <c r="Z114" s="15">
        <v>87.4</v>
      </c>
      <c r="AA114" s="15">
        <v>81.3</v>
      </c>
      <c r="AB114" s="24">
        <v>97.2</v>
      </c>
      <c r="AC114" s="24">
        <v>91.4</v>
      </c>
    </row>
    <row r="115" spans="26:29" ht="23.25" x14ac:dyDescent="0.7">
      <c r="Z115" s="15">
        <v>88.2</v>
      </c>
      <c r="AA115" s="15">
        <v>82.1</v>
      </c>
      <c r="AB115" s="24">
        <v>97.2</v>
      </c>
      <c r="AC115" s="24">
        <v>91.4</v>
      </c>
    </row>
    <row r="116" spans="26:29" ht="23.25" x14ac:dyDescent="0.7">
      <c r="Z116" s="15">
        <v>87.8</v>
      </c>
      <c r="AA116" s="15">
        <v>83.2</v>
      </c>
      <c r="AB116" s="24">
        <v>97.2</v>
      </c>
      <c r="AC116" s="24">
        <v>91.4</v>
      </c>
    </row>
    <row r="117" spans="26:29" ht="23.25" x14ac:dyDescent="0.7">
      <c r="Z117" s="15">
        <v>99.3</v>
      </c>
      <c r="AA117" s="15">
        <v>107.8</v>
      </c>
      <c r="AB117" s="24">
        <v>119</v>
      </c>
      <c r="AC117" s="24">
        <v>119</v>
      </c>
    </row>
    <row r="118" spans="26:29" ht="23.25" x14ac:dyDescent="0.7">
      <c r="Z118" s="15">
        <v>100.9</v>
      </c>
      <c r="AA118" s="15">
        <v>106.8</v>
      </c>
      <c r="AB118" s="24">
        <v>119</v>
      </c>
      <c r="AC118" s="24">
        <v>119</v>
      </c>
    </row>
    <row r="119" spans="26:29" ht="23.25" x14ac:dyDescent="0.7">
      <c r="Z119" s="15">
        <v>102.6</v>
      </c>
      <c r="AA119" s="15">
        <v>105.5</v>
      </c>
      <c r="AB119" s="24">
        <v>119</v>
      </c>
      <c r="AC119" s="24">
        <v>119</v>
      </c>
    </row>
    <row r="120" spans="26:29" ht="23.25" x14ac:dyDescent="0.7">
      <c r="Z120" s="15">
        <v>100.5</v>
      </c>
      <c r="AA120" s="15">
        <v>103.9</v>
      </c>
      <c r="AB120" s="24">
        <v>119</v>
      </c>
      <c r="AC120" s="24">
        <v>119</v>
      </c>
    </row>
    <row r="121" spans="26:29" ht="23.25" x14ac:dyDescent="0.7">
      <c r="Z121" s="15">
        <v>101.2</v>
      </c>
      <c r="AA121" s="15">
        <v>106</v>
      </c>
      <c r="AB121" s="24">
        <v>119</v>
      </c>
      <c r="AC121" s="24">
        <v>119</v>
      </c>
    </row>
    <row r="122" spans="26:29" ht="23.25" x14ac:dyDescent="0.7">
      <c r="Z122" s="15">
        <v>79.599999999999994</v>
      </c>
      <c r="AA122" s="15">
        <v>84.3</v>
      </c>
      <c r="AB122" s="24">
        <v>88.9</v>
      </c>
      <c r="AC122" s="24">
        <v>87.1</v>
      </c>
    </row>
    <row r="123" spans="26:29" ht="23.25" x14ac:dyDescent="0.7">
      <c r="Z123" s="15">
        <v>75.5</v>
      </c>
      <c r="AA123" s="15">
        <v>79.3</v>
      </c>
      <c r="AB123" s="24">
        <v>88.9</v>
      </c>
      <c r="AC123" s="24">
        <v>87.1</v>
      </c>
    </row>
    <row r="124" spans="26:29" ht="23.25" x14ac:dyDescent="0.7">
      <c r="Z124" s="15">
        <v>75.599999999999994</v>
      </c>
      <c r="AA124" s="15">
        <v>77.8</v>
      </c>
      <c r="AB124" s="24">
        <v>88.9</v>
      </c>
      <c r="AC124" s="24">
        <v>87.1</v>
      </c>
    </row>
    <row r="125" spans="26:29" ht="23.25" x14ac:dyDescent="0.7">
      <c r="Z125" s="15">
        <v>73.599999999999994</v>
      </c>
      <c r="AA125" s="15">
        <v>79.8</v>
      </c>
      <c r="AB125" s="24">
        <v>88.9</v>
      </c>
      <c r="AC125" s="24">
        <v>87.1</v>
      </c>
    </row>
    <row r="126" spans="26:29" ht="23.25" x14ac:dyDescent="0.7">
      <c r="Z126" s="15">
        <v>77.3</v>
      </c>
      <c r="AA126" s="15">
        <v>77.5</v>
      </c>
      <c r="AB126" s="24">
        <v>93.9</v>
      </c>
      <c r="AC126" s="24">
        <v>89.5</v>
      </c>
    </row>
    <row r="127" spans="26:29" ht="23.25" x14ac:dyDescent="0.7">
      <c r="Z127" s="15">
        <v>75.8</v>
      </c>
      <c r="AA127" s="15">
        <v>72.599999999999994</v>
      </c>
      <c r="AB127" s="24">
        <v>76.3</v>
      </c>
      <c r="AC127" s="24">
        <v>75.3</v>
      </c>
    </row>
    <row r="128" spans="26:29" ht="23.25" x14ac:dyDescent="0.7">
      <c r="Z128" s="15">
        <v>77.099999999999994</v>
      </c>
      <c r="AA128" s="15">
        <v>73.7</v>
      </c>
      <c r="AB128" s="24">
        <v>76.3</v>
      </c>
      <c r="AC128" s="24">
        <v>75.3</v>
      </c>
    </row>
    <row r="129" spans="26:29" ht="23.25" x14ac:dyDescent="0.7">
      <c r="Z129" s="15">
        <v>78.400000000000006</v>
      </c>
      <c r="AA129" s="15">
        <v>73.099999999999994</v>
      </c>
      <c r="AB129" s="24">
        <v>81.2</v>
      </c>
      <c r="AC129" s="24">
        <v>78.599999999999994</v>
      </c>
    </row>
    <row r="130" spans="26:29" ht="23.25" x14ac:dyDescent="0.7">
      <c r="Z130" s="15">
        <v>73.599999999999994</v>
      </c>
      <c r="AA130" s="15">
        <v>71.599999999999994</v>
      </c>
      <c r="AB130" s="24">
        <v>76.3</v>
      </c>
      <c r="AC130" s="24">
        <v>75.3</v>
      </c>
    </row>
    <row r="131" spans="26:29" ht="23.25" x14ac:dyDescent="0.7">
      <c r="Z131" s="15">
        <v>77.900000000000006</v>
      </c>
      <c r="AA131" s="15">
        <v>73.5</v>
      </c>
      <c r="AB131" s="24">
        <v>77.900000000000006</v>
      </c>
      <c r="AC131" s="24">
        <v>76.099999999999994</v>
      </c>
    </row>
    <row r="132" spans="26:29" ht="23.25" x14ac:dyDescent="0.7">
      <c r="Z132" s="15">
        <v>98.1</v>
      </c>
      <c r="AA132" s="15">
        <v>99.2</v>
      </c>
      <c r="AB132" s="24">
        <v>101.7</v>
      </c>
      <c r="AC132" s="24">
        <v>105</v>
      </c>
    </row>
    <row r="133" spans="26:29" ht="23.25" x14ac:dyDescent="0.7">
      <c r="Z133" s="15">
        <v>103.1</v>
      </c>
      <c r="AA133" s="15">
        <v>94.2</v>
      </c>
      <c r="AB133" s="24">
        <v>111</v>
      </c>
      <c r="AC133" s="24">
        <v>106.8</v>
      </c>
    </row>
    <row r="134" spans="26:29" ht="23.25" x14ac:dyDescent="0.7">
      <c r="Z134" s="15">
        <v>97.4</v>
      </c>
      <c r="AA134" s="15">
        <v>92.9</v>
      </c>
      <c r="AB134" s="24">
        <v>109.6</v>
      </c>
      <c r="AC134" s="24">
        <v>104.7</v>
      </c>
    </row>
    <row r="135" spans="26:29" ht="23.25" x14ac:dyDescent="0.7">
      <c r="Z135" s="15">
        <v>87.4</v>
      </c>
      <c r="AA135" s="15">
        <v>101</v>
      </c>
      <c r="AB135" s="24">
        <v>101.7</v>
      </c>
      <c r="AC135" s="24">
        <v>105</v>
      </c>
    </row>
    <row r="136" spans="26:29" ht="23.25" x14ac:dyDescent="0.7">
      <c r="Z136" s="15">
        <v>99.3</v>
      </c>
      <c r="AA136" s="15">
        <v>102.3</v>
      </c>
      <c r="AB136" s="24">
        <v>101.7</v>
      </c>
      <c r="AC136" s="24">
        <v>105</v>
      </c>
    </row>
    <row r="137" spans="26:29" ht="23.25" x14ac:dyDescent="0.7">
      <c r="Z137" s="15">
        <v>93.8</v>
      </c>
      <c r="AA137" s="15">
        <v>94.7</v>
      </c>
      <c r="AB137" s="24">
        <v>109.5</v>
      </c>
      <c r="AC137" s="24">
        <v>109.5</v>
      </c>
    </row>
    <row r="138" spans="26:29" ht="23.25" x14ac:dyDescent="0.7">
      <c r="Z138" s="15">
        <v>95.2</v>
      </c>
      <c r="AA138" s="15">
        <v>98.3</v>
      </c>
      <c r="AB138" s="24">
        <v>96</v>
      </c>
      <c r="AC138" s="24">
        <v>96</v>
      </c>
    </row>
    <row r="139" spans="26:29" ht="23.25" x14ac:dyDescent="0.7">
      <c r="Z139" s="15">
        <v>94.8</v>
      </c>
      <c r="AA139" s="15">
        <v>96.3</v>
      </c>
      <c r="AB139" s="24">
        <v>102.9</v>
      </c>
      <c r="AC139" s="24">
        <v>102.9</v>
      </c>
    </row>
    <row r="140" spans="26:29" ht="23.25" x14ac:dyDescent="0.7">
      <c r="Z140" s="15">
        <v>96.8</v>
      </c>
      <c r="AA140" s="15">
        <v>93.6</v>
      </c>
      <c r="AB140" s="24">
        <v>98.4</v>
      </c>
      <c r="AC140" s="24">
        <v>96</v>
      </c>
    </row>
    <row r="141" spans="26:29" ht="23.25" x14ac:dyDescent="0.7">
      <c r="Z141" s="15">
        <v>97.7</v>
      </c>
      <c r="AA141" s="15">
        <v>92.9</v>
      </c>
      <c r="AB141" s="24">
        <v>102.9</v>
      </c>
      <c r="AC141" s="24">
        <v>102.9</v>
      </c>
    </row>
    <row r="142" spans="26:29" ht="23.25" x14ac:dyDescent="0.7">
      <c r="Z142" s="15">
        <v>79.099999999999994</v>
      </c>
      <c r="AA142" s="15">
        <v>73.599999999999994</v>
      </c>
      <c r="AB142" s="24">
        <v>88.5</v>
      </c>
      <c r="AC142" s="24">
        <v>75.5</v>
      </c>
    </row>
    <row r="143" spans="26:29" ht="23.25" x14ac:dyDescent="0.7">
      <c r="Z143" s="15">
        <v>83.4</v>
      </c>
      <c r="AA143" s="15">
        <v>70.7</v>
      </c>
      <c r="AB143" s="24">
        <v>84.6</v>
      </c>
      <c r="AC143" s="24">
        <v>82.5</v>
      </c>
    </row>
    <row r="144" spans="26:29" ht="23.25" x14ac:dyDescent="0.7">
      <c r="Z144" s="15">
        <v>79.599999999999994</v>
      </c>
      <c r="AA144" s="15">
        <v>86.8</v>
      </c>
      <c r="AB144" s="24">
        <v>86.2</v>
      </c>
      <c r="AC144" s="24">
        <v>86.8</v>
      </c>
    </row>
    <row r="145" spans="26:29" ht="23.25" x14ac:dyDescent="0.7">
      <c r="Z145" s="15">
        <v>72.099999999999994</v>
      </c>
      <c r="AA145" s="15">
        <v>85.9</v>
      </c>
      <c r="AB145" s="24">
        <v>79.7</v>
      </c>
      <c r="AC145" s="24">
        <v>87.6</v>
      </c>
    </row>
    <row r="146" spans="26:29" ht="23.25" x14ac:dyDescent="0.7">
      <c r="Z146" s="15">
        <v>83.4</v>
      </c>
      <c r="AA146" s="15">
        <v>74.7</v>
      </c>
      <c r="AB146" s="24">
        <v>84.6</v>
      </c>
      <c r="AC146" s="24">
        <v>82.5</v>
      </c>
    </row>
    <row r="147" spans="26:29" ht="23.25" x14ac:dyDescent="0.7">
      <c r="Z147" s="15">
        <v>94.4</v>
      </c>
      <c r="AA147" s="15">
        <v>95.1</v>
      </c>
      <c r="AB147" s="24">
        <v>95.5</v>
      </c>
      <c r="AC147" s="24">
        <v>95.4</v>
      </c>
    </row>
    <row r="148" spans="26:29" ht="23.25" x14ac:dyDescent="0.7">
      <c r="Z148" s="15">
        <v>95.5</v>
      </c>
      <c r="AA148" s="15">
        <v>94.2</v>
      </c>
      <c r="AB148" s="24">
        <v>95.5</v>
      </c>
      <c r="AC148" s="24">
        <v>95.4</v>
      </c>
    </row>
    <row r="149" spans="26:29" ht="23.25" x14ac:dyDescent="0.7">
      <c r="Z149" s="15">
        <v>96.6</v>
      </c>
      <c r="AA149" s="15">
        <v>96.6</v>
      </c>
      <c r="AB149" s="24">
        <v>97.5</v>
      </c>
      <c r="AC149" s="24">
        <v>98.4</v>
      </c>
    </row>
    <row r="150" spans="26:29" ht="23.25" x14ac:dyDescent="0.7">
      <c r="Z150" s="15">
        <v>97.1</v>
      </c>
      <c r="AA150" s="15">
        <v>95.3</v>
      </c>
      <c r="AB150" s="24">
        <v>101.7</v>
      </c>
      <c r="AC150" s="24">
        <v>101.3</v>
      </c>
    </row>
    <row r="151" spans="26:29" ht="23.25" x14ac:dyDescent="0.7">
      <c r="Z151" s="15">
        <v>94.1</v>
      </c>
      <c r="AA151" s="15">
        <v>95.7</v>
      </c>
      <c r="AB151" s="24">
        <v>95.5</v>
      </c>
      <c r="AC151" s="24">
        <v>95.4</v>
      </c>
    </row>
    <row r="152" spans="26:29" ht="23.25" x14ac:dyDescent="0.7">
      <c r="Z152" s="15">
        <v>100.5</v>
      </c>
      <c r="AA152" s="15">
        <v>96.6</v>
      </c>
      <c r="AB152" s="24">
        <v>108.6</v>
      </c>
      <c r="AC152" s="24">
        <v>96.6</v>
      </c>
    </row>
    <row r="153" spans="26:29" ht="23.25" x14ac:dyDescent="0.7">
      <c r="Z153" s="15">
        <v>102.1</v>
      </c>
      <c r="AA153" s="15">
        <v>97.1</v>
      </c>
      <c r="AB153" s="24">
        <v>111</v>
      </c>
      <c r="AC153" s="24">
        <v>104.9</v>
      </c>
    </row>
    <row r="154" spans="26:29" ht="23.25" x14ac:dyDescent="0.7">
      <c r="Z154" s="15">
        <v>96.4</v>
      </c>
      <c r="AA154" s="15">
        <v>97</v>
      </c>
      <c r="AB154" s="24">
        <v>108.1</v>
      </c>
      <c r="AC154" s="24">
        <v>97.9</v>
      </c>
    </row>
    <row r="155" spans="26:29" ht="23.25" x14ac:dyDescent="0.7">
      <c r="Z155" s="15">
        <v>104.3</v>
      </c>
      <c r="AA155" s="15">
        <v>97.9</v>
      </c>
      <c r="AB155" s="24">
        <v>111</v>
      </c>
      <c r="AC155" s="24">
        <v>104.9</v>
      </c>
    </row>
    <row r="156" spans="26:29" ht="23.25" x14ac:dyDescent="0.7">
      <c r="Z156" s="15">
        <v>100</v>
      </c>
      <c r="AA156" s="15">
        <v>98.1</v>
      </c>
      <c r="AB156" s="24">
        <v>103.9</v>
      </c>
      <c r="AC156" s="24">
        <v>98.1</v>
      </c>
    </row>
    <row r="157" spans="26:29" ht="23.25" x14ac:dyDescent="0.7">
      <c r="Z157" s="15">
        <v>103.7</v>
      </c>
      <c r="AA157" s="15">
        <v>103.6</v>
      </c>
      <c r="AB157" s="24">
        <v>105.7</v>
      </c>
      <c r="AC157" s="24">
        <v>105.7</v>
      </c>
    </row>
    <row r="158" spans="26:29" ht="23.25" x14ac:dyDescent="0.7">
      <c r="Z158" s="15">
        <v>104.9</v>
      </c>
      <c r="AA158" s="15">
        <v>105</v>
      </c>
      <c r="AB158" s="24">
        <v>105.7</v>
      </c>
      <c r="AC158" s="24">
        <v>105.7</v>
      </c>
    </row>
    <row r="159" spans="26:29" ht="23.25" x14ac:dyDescent="0.7">
      <c r="Z159" s="15">
        <v>105.4</v>
      </c>
      <c r="AA159" s="15">
        <v>104.6</v>
      </c>
      <c r="AB159" s="24">
        <v>105.7</v>
      </c>
      <c r="AC159" s="24">
        <v>105.7</v>
      </c>
    </row>
    <row r="160" spans="26:29" ht="23.25" x14ac:dyDescent="0.7">
      <c r="Z160" s="15">
        <v>108.7</v>
      </c>
      <c r="AA160" s="15">
        <v>104.1</v>
      </c>
      <c r="AB160" s="24">
        <v>109.3</v>
      </c>
      <c r="AC160" s="24">
        <v>104.1</v>
      </c>
    </row>
    <row r="161" spans="26:29" ht="23.25" x14ac:dyDescent="0.7">
      <c r="Z161" s="15">
        <v>103.2</v>
      </c>
      <c r="AA161" s="15">
        <v>104.8</v>
      </c>
      <c r="AB161" s="24">
        <v>105.7</v>
      </c>
      <c r="AC161" s="24">
        <v>105.7</v>
      </c>
    </row>
    <row r="162" spans="26:29" ht="23.25" x14ac:dyDescent="0.7">
      <c r="Z162" s="15">
        <v>100.6</v>
      </c>
      <c r="AA162" s="15">
        <v>85.4</v>
      </c>
      <c r="AB162" s="24">
        <v>101.8</v>
      </c>
      <c r="AC162" s="24">
        <v>85.4</v>
      </c>
    </row>
    <row r="163" spans="26:29" ht="23.25" x14ac:dyDescent="0.7">
      <c r="Z163" s="15">
        <v>81.2</v>
      </c>
      <c r="AA163" s="15">
        <v>89.6</v>
      </c>
      <c r="AB163" s="24">
        <v>99.9</v>
      </c>
      <c r="AC163" s="24">
        <v>100.9</v>
      </c>
    </row>
    <row r="164" spans="26:29" ht="23.25" x14ac:dyDescent="0.7">
      <c r="Z164" s="15">
        <v>91.3</v>
      </c>
      <c r="AA164" s="15">
        <v>91.7</v>
      </c>
      <c r="AB164" s="24">
        <v>96.6</v>
      </c>
      <c r="AC164" s="24">
        <v>94.4</v>
      </c>
    </row>
    <row r="165" spans="26:29" ht="23.25" x14ac:dyDescent="0.7">
      <c r="Z165" s="15">
        <v>88.1</v>
      </c>
      <c r="AA165" s="15">
        <v>103.4</v>
      </c>
      <c r="AB165" s="24">
        <v>88.7</v>
      </c>
      <c r="AC165" s="24">
        <v>103.4</v>
      </c>
    </row>
    <row r="166" spans="26:29" ht="23.25" x14ac:dyDescent="0.7">
      <c r="Z166" s="15">
        <v>78.900000000000006</v>
      </c>
      <c r="AA166" s="15">
        <v>91.1</v>
      </c>
      <c r="AB166" s="24">
        <v>94</v>
      </c>
      <c r="AC166" s="24">
        <v>99.7</v>
      </c>
    </row>
    <row r="167" spans="26:29" ht="23.25" x14ac:dyDescent="0.7">
      <c r="Z167" s="15">
        <v>94.6</v>
      </c>
      <c r="AA167" s="15">
        <v>107.2</v>
      </c>
      <c r="AB167" s="24">
        <v>109.4</v>
      </c>
      <c r="AC167" s="24">
        <v>107.2</v>
      </c>
    </row>
    <row r="168" spans="26:29" ht="23.25" x14ac:dyDescent="0.7">
      <c r="Z168" s="15">
        <v>93.5</v>
      </c>
      <c r="AA168" s="15">
        <v>106.5</v>
      </c>
      <c r="AB168" s="24">
        <v>109.4</v>
      </c>
      <c r="AC168" s="24">
        <v>107.7</v>
      </c>
    </row>
    <row r="169" spans="26:29" ht="23.25" x14ac:dyDescent="0.7">
      <c r="Z169" s="15">
        <v>99.1</v>
      </c>
      <c r="AA169" s="15">
        <v>110.7</v>
      </c>
      <c r="AB169" s="24">
        <v>109.4</v>
      </c>
      <c r="AC169" s="24">
        <v>110.7</v>
      </c>
    </row>
    <row r="170" spans="26:29" ht="23.25" x14ac:dyDescent="0.7">
      <c r="Z170" s="15">
        <v>95.7</v>
      </c>
      <c r="AA170" s="15">
        <v>108.9</v>
      </c>
      <c r="AB170" s="24">
        <v>109.4</v>
      </c>
      <c r="AC170" s="24">
        <v>109.6</v>
      </c>
    </row>
    <row r="171" spans="26:29" ht="23.25" x14ac:dyDescent="0.7">
      <c r="Z171" s="15">
        <v>99.7</v>
      </c>
      <c r="AA171" s="15">
        <v>107.7</v>
      </c>
      <c r="AB171" s="24">
        <v>109.4</v>
      </c>
      <c r="AC171" s="24">
        <v>107.7</v>
      </c>
    </row>
    <row r="172" spans="26:29" ht="23.25" x14ac:dyDescent="0.7">
      <c r="Z172" s="15">
        <v>80.599999999999994</v>
      </c>
      <c r="AA172" s="15">
        <v>81.7</v>
      </c>
      <c r="AB172" s="24">
        <v>83.7</v>
      </c>
      <c r="AC172" s="24">
        <v>84.7</v>
      </c>
    </row>
    <row r="173" spans="26:29" ht="23.25" x14ac:dyDescent="0.7">
      <c r="Z173" s="15">
        <v>90.1</v>
      </c>
      <c r="AA173" s="15">
        <v>78</v>
      </c>
      <c r="AB173" s="24">
        <v>91.1</v>
      </c>
      <c r="AC173" s="24">
        <v>93.4</v>
      </c>
    </row>
    <row r="174" spans="26:29" ht="23.25" x14ac:dyDescent="0.7">
      <c r="Z174" s="15">
        <v>78</v>
      </c>
      <c r="AA174" s="15">
        <v>77.7</v>
      </c>
      <c r="AB174" s="24">
        <v>83</v>
      </c>
      <c r="AC174" s="24">
        <v>80.2</v>
      </c>
    </row>
    <row r="175" spans="26:29" ht="23.25" x14ac:dyDescent="0.7">
      <c r="Z175" s="15">
        <v>81.8</v>
      </c>
      <c r="AA175" s="15">
        <v>81.7</v>
      </c>
      <c r="AB175" s="24">
        <v>83.7</v>
      </c>
      <c r="AC175" s="24">
        <v>84.7</v>
      </c>
    </row>
    <row r="176" spans="26:29" ht="23.25" x14ac:dyDescent="0.7">
      <c r="Z176" s="15">
        <v>78.7</v>
      </c>
      <c r="AA176" s="15">
        <v>80.7</v>
      </c>
      <c r="AB176" s="24">
        <v>83.7</v>
      </c>
      <c r="AC176" s="24">
        <v>83.7</v>
      </c>
    </row>
    <row r="177" spans="26:29" ht="23.25" x14ac:dyDescent="0.7">
      <c r="Z177" s="15">
        <v>91.2</v>
      </c>
      <c r="AA177" s="15">
        <v>99.1</v>
      </c>
      <c r="AB177" s="24">
        <v>100.4</v>
      </c>
      <c r="AC177" s="24">
        <v>100.8</v>
      </c>
    </row>
    <row r="178" spans="26:29" ht="23.25" x14ac:dyDescent="0.7">
      <c r="Z178" s="15">
        <v>87.3</v>
      </c>
      <c r="AA178" s="15">
        <v>98.6</v>
      </c>
      <c r="AB178" s="24">
        <v>100.4</v>
      </c>
      <c r="AC178" s="24">
        <v>0.02</v>
      </c>
    </row>
    <row r="179" spans="26:29" ht="23.25" x14ac:dyDescent="0.7">
      <c r="Z179" s="15">
        <v>88.1</v>
      </c>
      <c r="AA179" s="15">
        <v>98.7</v>
      </c>
      <c r="AB179" s="24">
        <v>100.4</v>
      </c>
      <c r="AC179" s="24">
        <v>99.4</v>
      </c>
    </row>
    <row r="180" spans="26:29" ht="23.25" x14ac:dyDescent="0.7">
      <c r="Z180" s="15">
        <v>87.7</v>
      </c>
      <c r="AA180" s="15">
        <v>95.6</v>
      </c>
      <c r="AB180" s="24">
        <v>100.4</v>
      </c>
      <c r="AC180" s="24">
        <v>99.8</v>
      </c>
    </row>
    <row r="181" spans="26:29" ht="23.25" x14ac:dyDescent="0.7">
      <c r="Z181" s="15">
        <v>90.2</v>
      </c>
      <c r="AA181" s="15">
        <v>99.8</v>
      </c>
      <c r="AB181" s="24">
        <v>100.4</v>
      </c>
      <c r="AC181" s="24">
        <v>99.8</v>
      </c>
    </row>
    <row r="182" spans="26:29" ht="23.25" x14ac:dyDescent="0.7">
      <c r="Z182" s="15">
        <v>85.3</v>
      </c>
      <c r="AA182" s="15">
        <v>91.1</v>
      </c>
      <c r="AB182" s="24">
        <v>91.7</v>
      </c>
      <c r="AC182" s="24">
        <v>91.1</v>
      </c>
    </row>
    <row r="183" spans="26:29" ht="23.25" x14ac:dyDescent="0.7">
      <c r="Z183" s="15">
        <v>86.7</v>
      </c>
      <c r="AA183" s="15">
        <v>90.9</v>
      </c>
      <c r="AB183" s="24">
        <v>94.1</v>
      </c>
      <c r="AC183" s="24">
        <v>90.9</v>
      </c>
    </row>
    <row r="184" spans="26:29" ht="23.25" x14ac:dyDescent="0.7">
      <c r="Z184" s="15">
        <v>85.6</v>
      </c>
      <c r="AA184" s="15">
        <v>95.1</v>
      </c>
      <c r="AB184" s="24">
        <v>92</v>
      </c>
      <c r="AC184" s="24">
        <v>95.1</v>
      </c>
    </row>
    <row r="185" spans="26:29" ht="23.25" x14ac:dyDescent="0.7">
      <c r="Z185" s="15">
        <v>84.1</v>
      </c>
      <c r="AA185" s="15">
        <v>91</v>
      </c>
      <c r="AB185" s="24">
        <v>90.5</v>
      </c>
      <c r="AC185" s="24">
        <v>91</v>
      </c>
    </row>
    <row r="186" spans="26:29" ht="23.25" x14ac:dyDescent="0.7">
      <c r="Z186" s="15">
        <v>85.6</v>
      </c>
      <c r="AA186" s="15">
        <v>100.3</v>
      </c>
      <c r="AB186" s="24">
        <v>92</v>
      </c>
      <c r="AC186" s="24">
        <v>100.3</v>
      </c>
    </row>
    <row r="187" spans="26:29" ht="23.25" x14ac:dyDescent="0.7">
      <c r="Z187" s="15">
        <v>84.9</v>
      </c>
      <c r="AA187" s="15">
        <v>100.2</v>
      </c>
      <c r="AB187" s="24">
        <v>98.7</v>
      </c>
      <c r="AC187" s="24">
        <v>104.6</v>
      </c>
    </row>
    <row r="188" spans="26:29" ht="23.25" x14ac:dyDescent="0.7">
      <c r="Z188" s="15">
        <v>86.6</v>
      </c>
      <c r="AA188" s="15">
        <v>97.4</v>
      </c>
      <c r="AB188" s="24">
        <v>111.7</v>
      </c>
      <c r="AC188" s="24">
        <v>106.6</v>
      </c>
    </row>
    <row r="189" spans="26:29" ht="23.25" x14ac:dyDescent="0.7">
      <c r="Z189" s="15">
        <v>95.9</v>
      </c>
      <c r="AA189" s="15">
        <v>105.1</v>
      </c>
      <c r="AB189" s="24">
        <v>102.6</v>
      </c>
      <c r="AC189" s="24">
        <v>109.5</v>
      </c>
    </row>
    <row r="190" spans="26:29" ht="23.25" x14ac:dyDescent="0.7">
      <c r="Z190" s="15">
        <v>102.9</v>
      </c>
      <c r="AA190" s="15">
        <v>99.6</v>
      </c>
      <c r="AB190" s="24">
        <v>119.8</v>
      </c>
      <c r="AC190" s="24">
        <v>99.6</v>
      </c>
    </row>
    <row r="191" spans="26:29" ht="23.25" x14ac:dyDescent="0.7">
      <c r="Z191" s="15">
        <v>86.6</v>
      </c>
      <c r="AA191" s="15">
        <v>98.3</v>
      </c>
      <c r="AB191" s="24">
        <v>111.7</v>
      </c>
      <c r="AC191" s="24">
        <v>106.7</v>
      </c>
    </row>
    <row r="192" spans="26:29" ht="23.25" x14ac:dyDescent="0.7">
      <c r="Z192" s="15">
        <v>92.1</v>
      </c>
      <c r="AA192" s="15">
        <v>98.6</v>
      </c>
      <c r="AB192" s="24">
        <v>111.7</v>
      </c>
      <c r="AC192" s="24">
        <v>109.4</v>
      </c>
    </row>
    <row r="193" spans="26:29" ht="23.25" x14ac:dyDescent="0.7">
      <c r="Z193" s="15">
        <v>92.6</v>
      </c>
      <c r="AA193" s="15">
        <v>106.5</v>
      </c>
      <c r="AB193" s="24">
        <v>111.7</v>
      </c>
      <c r="AC193" s="24">
        <v>118.2</v>
      </c>
    </row>
    <row r="194" spans="26:29" ht="23.25" x14ac:dyDescent="0.7">
      <c r="Z194" s="15">
        <v>93.4</v>
      </c>
      <c r="AA194" s="15">
        <v>99.9</v>
      </c>
      <c r="AB194" s="24">
        <v>111.7</v>
      </c>
      <c r="AC194" s="24">
        <v>109.4</v>
      </c>
    </row>
    <row r="195" spans="26:29" ht="23.25" x14ac:dyDescent="0.7">
      <c r="Z195" s="15">
        <v>92.9</v>
      </c>
      <c r="AA195" s="15">
        <v>100.3</v>
      </c>
      <c r="AB195" s="24">
        <v>111.7</v>
      </c>
      <c r="AC195" s="24">
        <v>109.4</v>
      </c>
    </row>
    <row r="196" spans="26:29" ht="23.25" x14ac:dyDescent="0.7">
      <c r="Z196" s="15">
        <v>92.7</v>
      </c>
      <c r="AA196" s="15">
        <v>99.5</v>
      </c>
      <c r="AB196" s="24">
        <v>111.7</v>
      </c>
      <c r="AC196" s="24">
        <v>109.4</v>
      </c>
    </row>
    <row r="197" spans="26:29" ht="23.25" x14ac:dyDescent="0.7">
      <c r="Z197" s="15">
        <v>93.6</v>
      </c>
      <c r="AA197" s="15">
        <v>96.7</v>
      </c>
      <c r="AB197" s="24">
        <v>97.9</v>
      </c>
      <c r="AC197" s="24">
        <v>98.9</v>
      </c>
    </row>
    <row r="198" spans="26:29" ht="23.25" x14ac:dyDescent="0.7">
      <c r="Z198" s="15">
        <v>94.8</v>
      </c>
      <c r="AA198" s="15">
        <v>98.3</v>
      </c>
      <c r="AB198" s="24">
        <v>97.9</v>
      </c>
      <c r="AC198" s="24">
        <v>98.9</v>
      </c>
    </row>
    <row r="199" spans="26:29" ht="23.25" x14ac:dyDescent="0.7">
      <c r="Z199" s="15">
        <v>93.4</v>
      </c>
      <c r="AA199" s="15">
        <v>96.7</v>
      </c>
      <c r="AB199" s="24">
        <v>97.9</v>
      </c>
      <c r="AC199" s="24">
        <v>98.9</v>
      </c>
    </row>
    <row r="200" spans="26:29" ht="23.25" x14ac:dyDescent="0.7">
      <c r="Z200" s="15">
        <v>95</v>
      </c>
      <c r="AA200" s="15">
        <v>97.2</v>
      </c>
      <c r="AB200" s="24">
        <v>97.9</v>
      </c>
      <c r="AC200" s="24">
        <v>98.9</v>
      </c>
    </row>
    <row r="201" spans="26:29" ht="23.25" x14ac:dyDescent="0.7">
      <c r="Z201" s="15">
        <v>101.2</v>
      </c>
      <c r="AA201" s="15">
        <v>98.6</v>
      </c>
      <c r="AB201" s="24">
        <v>111.6</v>
      </c>
      <c r="AC201" s="24">
        <v>98.9</v>
      </c>
    </row>
  </sheetData>
  <mergeCells count="9">
    <mergeCell ref="A1:A4"/>
    <mergeCell ref="B1:B4"/>
    <mergeCell ref="C1:R1"/>
    <mergeCell ref="C2:J2"/>
    <mergeCell ref="K2:R2"/>
    <mergeCell ref="C3:F3"/>
    <mergeCell ref="G3:J3"/>
    <mergeCell ref="K3:N3"/>
    <mergeCell ref="O3:R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2271-58B3-4A99-BF2C-F55FEDF82743}">
  <dimension ref="A1:BB115"/>
  <sheetViews>
    <sheetView topLeftCell="Q10" zoomScale="55" zoomScaleNormal="55" workbookViewId="0">
      <selection activeCell="AB43" sqref="AB43"/>
    </sheetView>
  </sheetViews>
  <sheetFormatPr defaultRowHeight="14.25" x14ac:dyDescent="0.45"/>
  <cols>
    <col min="2" max="2" width="38.86328125" customWidth="1"/>
    <col min="3" max="18" width="15.1328125" customWidth="1"/>
    <col min="20" max="20" width="5.86328125" customWidth="1"/>
    <col min="21" max="21" width="4.86328125" customWidth="1"/>
    <col min="22" max="22" width="25.59765625" customWidth="1"/>
    <col min="23" max="23" width="11.3984375" customWidth="1"/>
    <col min="24" max="24" width="14.1328125" customWidth="1"/>
    <col min="25" max="25" width="11.1328125" customWidth="1"/>
    <col min="26" max="26" width="12.73046875" customWidth="1"/>
    <col min="27" max="27" width="12.265625" customWidth="1"/>
    <col min="28" max="28" width="14.265625" customWidth="1"/>
    <col min="29" max="31" width="14.59765625" customWidth="1"/>
    <col min="32" max="32" width="12.73046875" customWidth="1"/>
    <col min="33" max="34" width="14.59765625" customWidth="1"/>
    <col min="35" max="36" width="14.1328125" customWidth="1"/>
    <col min="37" max="37" width="11.1328125" customWidth="1"/>
    <col min="38" max="38" width="12.73046875" customWidth="1"/>
    <col min="39" max="39" width="12.265625" customWidth="1"/>
    <col min="40" max="40" width="14.265625" customWidth="1"/>
    <col min="41" max="41" width="11.3984375" bestFit="1" customWidth="1"/>
    <col min="42" max="43" width="14.59765625" customWidth="1"/>
    <col min="44" max="44" width="12.73046875" customWidth="1"/>
    <col min="45" max="46" width="14.59765625" customWidth="1"/>
    <col min="47" max="47" width="5.1328125" customWidth="1"/>
    <col min="48" max="48" width="13.3984375" bestFit="1" customWidth="1"/>
    <col min="49" max="49" width="33.73046875" customWidth="1"/>
    <col min="50" max="50" width="10" bestFit="1" customWidth="1"/>
    <col min="51" max="51" width="11.86328125" bestFit="1" customWidth="1"/>
    <col min="52" max="52" width="9.73046875" bestFit="1" customWidth="1"/>
    <col min="53" max="53" width="12.265625" bestFit="1" customWidth="1"/>
    <col min="54" max="54" width="11" bestFit="1" customWidth="1"/>
    <col min="55" max="55" width="11.265625" customWidth="1"/>
  </cols>
  <sheetData>
    <row r="1" spans="1:54" ht="23.25" x14ac:dyDescent="0.7">
      <c r="A1" s="58" t="s">
        <v>87</v>
      </c>
      <c r="B1" s="61" t="s">
        <v>88</v>
      </c>
      <c r="C1" s="64" t="s">
        <v>89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U1" s="48"/>
      <c r="V1" s="48"/>
      <c r="W1" s="49" t="s">
        <v>25</v>
      </c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1"/>
      <c r="AI1" s="49" t="s">
        <v>25</v>
      </c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1"/>
    </row>
    <row r="2" spans="1:54" ht="23.25" x14ac:dyDescent="0.7">
      <c r="A2" s="59"/>
      <c r="B2" s="62"/>
      <c r="C2" s="66" t="s">
        <v>11</v>
      </c>
      <c r="D2" s="67"/>
      <c r="E2" s="67"/>
      <c r="F2" s="67"/>
      <c r="G2" s="67"/>
      <c r="H2" s="67"/>
      <c r="I2" s="67"/>
      <c r="J2" s="68"/>
      <c r="K2" s="69" t="s">
        <v>12</v>
      </c>
      <c r="L2" s="70"/>
      <c r="M2" s="70"/>
      <c r="N2" s="70"/>
      <c r="O2" s="70"/>
      <c r="P2" s="70"/>
      <c r="Q2" s="70"/>
      <c r="R2" s="70"/>
      <c r="U2" s="48"/>
      <c r="V2" s="48"/>
      <c r="W2" s="52" t="s">
        <v>11</v>
      </c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4"/>
      <c r="AI2" s="52" t="s">
        <v>12</v>
      </c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4"/>
      <c r="AV2" s="77" t="s">
        <v>98</v>
      </c>
      <c r="AW2" s="77" t="s">
        <v>99</v>
      </c>
      <c r="AX2" s="78" t="s">
        <v>100</v>
      </c>
      <c r="AY2" s="78"/>
      <c r="AZ2" s="78"/>
      <c r="BA2" s="78"/>
      <c r="BB2" s="78"/>
    </row>
    <row r="3" spans="1:54" ht="23.25" x14ac:dyDescent="0.7">
      <c r="A3" s="59"/>
      <c r="B3" s="62"/>
      <c r="C3" s="71" t="s">
        <v>13</v>
      </c>
      <c r="D3" s="72"/>
      <c r="E3" s="72"/>
      <c r="F3" s="73"/>
      <c r="G3" s="74" t="s">
        <v>0</v>
      </c>
      <c r="H3" s="75"/>
      <c r="I3" s="75"/>
      <c r="J3" s="76"/>
      <c r="K3" s="71" t="s">
        <v>13</v>
      </c>
      <c r="L3" s="72"/>
      <c r="M3" s="72"/>
      <c r="N3" s="73"/>
      <c r="O3" s="74" t="s">
        <v>0</v>
      </c>
      <c r="P3" s="75"/>
      <c r="Q3" s="75"/>
      <c r="R3" s="76"/>
      <c r="U3" s="48"/>
      <c r="V3" s="48"/>
      <c r="W3" s="49" t="s">
        <v>13</v>
      </c>
      <c r="X3" s="50"/>
      <c r="Y3" s="50"/>
      <c r="Z3" s="50"/>
      <c r="AA3" s="50"/>
      <c r="AB3" s="51"/>
      <c r="AC3" s="55" t="s">
        <v>0</v>
      </c>
      <c r="AD3" s="56"/>
      <c r="AE3" s="56"/>
      <c r="AF3" s="56"/>
      <c r="AG3" s="56"/>
      <c r="AH3" s="57"/>
      <c r="AI3" s="49" t="s">
        <v>13</v>
      </c>
      <c r="AJ3" s="50"/>
      <c r="AK3" s="50"/>
      <c r="AL3" s="50"/>
      <c r="AM3" s="50"/>
      <c r="AN3" s="51"/>
      <c r="AO3" s="55" t="s">
        <v>0</v>
      </c>
      <c r="AP3" s="56"/>
      <c r="AQ3" s="56"/>
      <c r="AR3" s="56"/>
      <c r="AS3" s="56"/>
      <c r="AT3" s="57"/>
      <c r="AV3" s="77"/>
      <c r="AW3" s="77"/>
      <c r="AX3" s="79" t="s">
        <v>101</v>
      </c>
      <c r="AY3" s="79"/>
      <c r="AZ3" s="79"/>
      <c r="BA3" s="79"/>
      <c r="BB3" s="79"/>
    </row>
    <row r="4" spans="1:54" ht="63" x14ac:dyDescent="0.5">
      <c r="A4" s="60"/>
      <c r="B4" s="63"/>
      <c r="C4" s="8" t="s">
        <v>26</v>
      </c>
      <c r="D4" s="23" t="s">
        <v>90</v>
      </c>
      <c r="E4" s="10" t="s">
        <v>28</v>
      </c>
      <c r="F4" s="13" t="s">
        <v>91</v>
      </c>
      <c r="G4" s="14" t="s">
        <v>26</v>
      </c>
      <c r="H4" s="23" t="s">
        <v>90</v>
      </c>
      <c r="I4" s="10" t="s">
        <v>28</v>
      </c>
      <c r="J4" s="13" t="s">
        <v>91</v>
      </c>
      <c r="K4" s="8" t="s">
        <v>26</v>
      </c>
      <c r="L4" s="23" t="s">
        <v>90</v>
      </c>
      <c r="M4" s="10" t="s">
        <v>28</v>
      </c>
      <c r="N4" s="13" t="s">
        <v>91</v>
      </c>
      <c r="O4" s="14" t="s">
        <v>26</v>
      </c>
      <c r="P4" s="23" t="s">
        <v>90</v>
      </c>
      <c r="Q4" s="10" t="s">
        <v>28</v>
      </c>
      <c r="R4" s="13" t="s">
        <v>91</v>
      </c>
      <c r="U4" s="48"/>
      <c r="V4" s="48"/>
      <c r="W4" s="8" t="s">
        <v>26</v>
      </c>
      <c r="X4" s="9" t="s">
        <v>27</v>
      </c>
      <c r="Y4" s="10" t="s">
        <v>28</v>
      </c>
      <c r="Z4" s="11" t="s">
        <v>29</v>
      </c>
      <c r="AA4" s="12" t="s">
        <v>30</v>
      </c>
      <c r="AB4" s="13" t="s">
        <v>31</v>
      </c>
      <c r="AC4" s="14" t="s">
        <v>26</v>
      </c>
      <c r="AD4" s="9" t="s">
        <v>27</v>
      </c>
      <c r="AE4" s="10" t="s">
        <v>28</v>
      </c>
      <c r="AF4" s="11" t="s">
        <v>32</v>
      </c>
      <c r="AG4" s="12" t="s">
        <v>33</v>
      </c>
      <c r="AH4" s="13" t="s">
        <v>31</v>
      </c>
      <c r="AI4" s="8" t="s">
        <v>26</v>
      </c>
      <c r="AJ4" s="9" t="s">
        <v>27</v>
      </c>
      <c r="AK4" s="10" t="s">
        <v>28</v>
      </c>
      <c r="AL4" s="11" t="s">
        <v>32</v>
      </c>
      <c r="AM4" s="12" t="s">
        <v>33</v>
      </c>
      <c r="AN4" s="13" t="s">
        <v>31</v>
      </c>
      <c r="AO4" s="14" t="s">
        <v>26</v>
      </c>
      <c r="AP4" s="9" t="s">
        <v>27</v>
      </c>
      <c r="AQ4" s="10" t="s">
        <v>28</v>
      </c>
      <c r="AR4" s="11" t="s">
        <v>32</v>
      </c>
      <c r="AS4" s="12" t="s">
        <v>33</v>
      </c>
      <c r="AT4" s="13" t="s">
        <v>31</v>
      </c>
      <c r="AV4" s="77"/>
      <c r="AW4" s="77"/>
      <c r="AX4" s="26" t="s">
        <v>102</v>
      </c>
      <c r="AY4" s="27" t="s">
        <v>27</v>
      </c>
      <c r="AZ4" s="28" t="s">
        <v>28</v>
      </c>
      <c r="BA4" s="29" t="s">
        <v>33</v>
      </c>
      <c r="BB4" s="30" t="s">
        <v>31</v>
      </c>
    </row>
    <row r="5" spans="1:54" ht="23.25" x14ac:dyDescent="0.7">
      <c r="A5" s="21" t="s">
        <v>92</v>
      </c>
      <c r="B5" s="1" t="s">
        <v>1</v>
      </c>
      <c r="C5" s="15">
        <v>90.3</v>
      </c>
      <c r="D5" s="24">
        <v>109.8</v>
      </c>
      <c r="E5" s="4">
        <v>4</v>
      </c>
      <c r="F5" s="18">
        <v>0.1</v>
      </c>
      <c r="G5" s="15">
        <v>96.7</v>
      </c>
      <c r="H5" s="24">
        <v>109.8</v>
      </c>
      <c r="I5" s="4">
        <v>3</v>
      </c>
      <c r="J5" s="18">
        <v>0.1</v>
      </c>
      <c r="K5" s="15">
        <v>90.4</v>
      </c>
      <c r="L5" s="24">
        <v>96</v>
      </c>
      <c r="M5" s="4">
        <v>3</v>
      </c>
      <c r="N5" s="18">
        <v>0.01</v>
      </c>
      <c r="O5" s="15">
        <v>90.9</v>
      </c>
      <c r="P5" s="24">
        <v>96</v>
      </c>
      <c r="Q5" s="4">
        <v>3</v>
      </c>
      <c r="R5" s="18">
        <v>0.02</v>
      </c>
      <c r="U5" s="2">
        <v>1</v>
      </c>
      <c r="V5" s="1" t="s">
        <v>1</v>
      </c>
      <c r="W5" s="15">
        <v>90.8</v>
      </c>
      <c r="X5" s="16">
        <v>115.6</v>
      </c>
      <c r="Y5" s="4">
        <v>4</v>
      </c>
      <c r="Z5" s="3">
        <v>2.5</v>
      </c>
      <c r="AA5" s="17">
        <v>0</v>
      </c>
      <c r="AB5" s="18" t="s">
        <v>34</v>
      </c>
      <c r="AC5" s="15">
        <v>92.3</v>
      </c>
      <c r="AD5" s="16">
        <v>115.6</v>
      </c>
      <c r="AE5" s="4">
        <v>5</v>
      </c>
      <c r="AF5" s="3" t="s">
        <v>35</v>
      </c>
      <c r="AG5" s="17" t="s">
        <v>36</v>
      </c>
      <c r="AH5" s="18">
        <v>29.8</v>
      </c>
      <c r="AI5" s="15">
        <v>87</v>
      </c>
      <c r="AJ5" s="16">
        <v>101.9</v>
      </c>
      <c r="AK5" s="4">
        <v>5</v>
      </c>
      <c r="AL5" s="3">
        <v>0</v>
      </c>
      <c r="AM5" s="17" t="s">
        <v>37</v>
      </c>
      <c r="AN5" s="18" t="s">
        <v>38</v>
      </c>
      <c r="AO5" s="15">
        <v>85.6</v>
      </c>
      <c r="AP5" s="16">
        <v>101.9</v>
      </c>
      <c r="AQ5" s="4">
        <v>4</v>
      </c>
      <c r="AR5" s="3">
        <v>0</v>
      </c>
      <c r="AS5" s="17">
        <v>0</v>
      </c>
      <c r="AT5" s="18" t="s">
        <v>39</v>
      </c>
      <c r="AV5" s="2">
        <v>1</v>
      </c>
      <c r="AW5" s="1" t="s">
        <v>1</v>
      </c>
      <c r="AX5" s="31">
        <v>77.099999999999994</v>
      </c>
      <c r="AY5" s="32">
        <v>110.5</v>
      </c>
      <c r="AZ5" s="33">
        <v>5</v>
      </c>
      <c r="BA5" s="34" t="s">
        <v>103</v>
      </c>
      <c r="BB5" s="35" t="s">
        <v>104</v>
      </c>
    </row>
    <row r="6" spans="1:54" ht="23.25" x14ac:dyDescent="0.7">
      <c r="A6" s="21" t="s">
        <v>93</v>
      </c>
      <c r="B6" s="1" t="s">
        <v>1</v>
      </c>
      <c r="C6" s="15">
        <v>88.9</v>
      </c>
      <c r="D6" s="24">
        <v>109.8</v>
      </c>
      <c r="E6" s="4">
        <v>4</v>
      </c>
      <c r="F6" s="18">
        <v>0.1</v>
      </c>
      <c r="G6" s="15">
        <v>97.9</v>
      </c>
      <c r="H6" s="24">
        <v>109.8</v>
      </c>
      <c r="I6" s="4">
        <v>3</v>
      </c>
      <c r="J6" s="18">
        <v>0.1</v>
      </c>
      <c r="K6" s="15">
        <v>88.7</v>
      </c>
      <c r="L6" s="24">
        <v>96</v>
      </c>
      <c r="M6" s="4">
        <v>4</v>
      </c>
      <c r="N6" s="18">
        <v>0.01</v>
      </c>
      <c r="O6" s="15">
        <v>90.3</v>
      </c>
      <c r="P6" s="24">
        <v>96</v>
      </c>
      <c r="Q6" s="4">
        <v>3</v>
      </c>
      <c r="R6" s="18">
        <v>0.02</v>
      </c>
      <c r="U6" s="2">
        <v>2</v>
      </c>
      <c r="V6" s="1" t="s">
        <v>2</v>
      </c>
      <c r="W6" s="15">
        <v>71.8</v>
      </c>
      <c r="X6" s="16">
        <v>89.4</v>
      </c>
      <c r="Y6" s="4">
        <v>3</v>
      </c>
      <c r="Z6" s="3">
        <v>0</v>
      </c>
      <c r="AA6" s="17">
        <v>0</v>
      </c>
      <c r="AB6" s="18" t="s">
        <v>40</v>
      </c>
      <c r="AC6" s="15">
        <v>83.5</v>
      </c>
      <c r="AD6" s="16">
        <v>89.4</v>
      </c>
      <c r="AE6" s="4">
        <v>3</v>
      </c>
      <c r="AF6" s="3">
        <v>0</v>
      </c>
      <c r="AG6" s="17" t="s">
        <v>41</v>
      </c>
      <c r="AH6" s="18" t="s">
        <v>42</v>
      </c>
      <c r="AI6" s="15">
        <v>81.900000000000006</v>
      </c>
      <c r="AJ6" s="16">
        <v>88.3</v>
      </c>
      <c r="AK6" s="4">
        <v>5</v>
      </c>
      <c r="AL6" s="3" t="s">
        <v>43</v>
      </c>
      <c r="AM6" s="17" t="s">
        <v>44</v>
      </c>
      <c r="AN6" s="18" t="s">
        <v>39</v>
      </c>
      <c r="AO6" s="15">
        <v>82.8</v>
      </c>
      <c r="AP6" s="16">
        <v>88.3</v>
      </c>
      <c r="AQ6" s="4">
        <v>4</v>
      </c>
      <c r="AR6" s="3">
        <v>5.3</v>
      </c>
      <c r="AS6" s="17">
        <v>0</v>
      </c>
      <c r="AT6" s="18" t="s">
        <v>42</v>
      </c>
      <c r="AV6" s="2">
        <v>2</v>
      </c>
      <c r="AW6" s="1" t="s">
        <v>2</v>
      </c>
      <c r="AX6" s="31">
        <v>69</v>
      </c>
      <c r="AY6" s="32">
        <v>88.9</v>
      </c>
      <c r="AZ6" s="33">
        <v>4</v>
      </c>
      <c r="BA6" s="34" t="s">
        <v>105</v>
      </c>
      <c r="BB6" s="35" t="s">
        <v>106</v>
      </c>
    </row>
    <row r="7" spans="1:54" ht="23.25" x14ac:dyDescent="0.7">
      <c r="A7" s="21" t="s">
        <v>94</v>
      </c>
      <c r="B7" s="1" t="s">
        <v>1</v>
      </c>
      <c r="C7" s="15">
        <v>92.4</v>
      </c>
      <c r="D7" s="24">
        <v>109.8</v>
      </c>
      <c r="E7" s="4">
        <v>3</v>
      </c>
      <c r="F7" s="18">
        <v>0.1</v>
      </c>
      <c r="G7" s="15">
        <v>98.8</v>
      </c>
      <c r="H7" s="24">
        <v>109.8</v>
      </c>
      <c r="I7" s="4">
        <v>3</v>
      </c>
      <c r="J7" s="18">
        <v>0.1</v>
      </c>
      <c r="K7" s="15">
        <v>90.9</v>
      </c>
      <c r="L7" s="24">
        <v>96</v>
      </c>
      <c r="M7" s="4">
        <v>3</v>
      </c>
      <c r="N7" s="18">
        <v>0.01</v>
      </c>
      <c r="O7" s="15">
        <v>92.1</v>
      </c>
      <c r="P7" s="24">
        <v>96</v>
      </c>
      <c r="Q7" s="4">
        <v>3</v>
      </c>
      <c r="R7" s="18">
        <v>0.01</v>
      </c>
      <c r="U7" s="2">
        <v>3</v>
      </c>
      <c r="V7" s="1" t="s">
        <v>3</v>
      </c>
      <c r="W7" s="15">
        <v>85.1</v>
      </c>
      <c r="X7" s="16">
        <v>93.9</v>
      </c>
      <c r="Y7" s="4">
        <v>3</v>
      </c>
      <c r="Z7" s="3">
        <v>0.1</v>
      </c>
      <c r="AA7" s="17">
        <v>0</v>
      </c>
      <c r="AB7" s="18" t="s">
        <v>45</v>
      </c>
      <c r="AC7" s="15">
        <v>89.2</v>
      </c>
      <c r="AD7" s="16">
        <v>93.9</v>
      </c>
      <c r="AE7" s="4">
        <v>2</v>
      </c>
      <c r="AF7" s="3" t="s">
        <v>46</v>
      </c>
      <c r="AG7" s="17" t="s">
        <v>47</v>
      </c>
      <c r="AH7" s="18" t="s">
        <v>48</v>
      </c>
      <c r="AI7" s="15">
        <v>89.2</v>
      </c>
      <c r="AJ7" s="16">
        <v>95.9</v>
      </c>
      <c r="AK7" s="4">
        <v>3</v>
      </c>
      <c r="AL7" s="3" t="s">
        <v>49</v>
      </c>
      <c r="AM7" s="17" t="s">
        <v>50</v>
      </c>
      <c r="AN7" s="18" t="s">
        <v>51</v>
      </c>
      <c r="AO7" s="15">
        <v>84.8</v>
      </c>
      <c r="AP7" s="16">
        <v>95.9</v>
      </c>
      <c r="AQ7" s="4">
        <v>3</v>
      </c>
      <c r="AR7" s="3" t="s">
        <v>49</v>
      </c>
      <c r="AS7" s="17">
        <v>0</v>
      </c>
      <c r="AT7" s="18" t="s">
        <v>52</v>
      </c>
      <c r="AV7" s="2">
        <v>3</v>
      </c>
      <c r="AW7" s="1" t="s">
        <v>3</v>
      </c>
      <c r="AX7" s="31">
        <v>76.099999999999994</v>
      </c>
      <c r="AY7" s="32">
        <v>99.6</v>
      </c>
      <c r="AZ7" s="33">
        <v>4</v>
      </c>
      <c r="BA7" s="34">
        <v>0</v>
      </c>
      <c r="BB7" s="35" t="s">
        <v>107</v>
      </c>
    </row>
    <row r="8" spans="1:54" ht="23.25" x14ac:dyDescent="0.7">
      <c r="A8" s="21" t="s">
        <v>95</v>
      </c>
      <c r="B8" s="1" t="s">
        <v>1</v>
      </c>
      <c r="C8" s="15">
        <v>93.6</v>
      </c>
      <c r="D8" s="24">
        <v>109.8</v>
      </c>
      <c r="E8" s="4">
        <v>3</v>
      </c>
      <c r="F8" s="18">
        <v>0.1</v>
      </c>
      <c r="G8" s="15">
        <v>91.2</v>
      </c>
      <c r="H8" s="24">
        <v>109.8</v>
      </c>
      <c r="I8" s="4">
        <v>3</v>
      </c>
      <c r="J8" s="18">
        <v>0.1</v>
      </c>
      <c r="K8" s="15">
        <v>92.6</v>
      </c>
      <c r="L8" s="24">
        <v>96</v>
      </c>
      <c r="M8" s="4">
        <v>3</v>
      </c>
      <c r="N8" s="18">
        <v>0.01</v>
      </c>
      <c r="O8" s="15">
        <v>93.1</v>
      </c>
      <c r="P8" s="24">
        <v>96</v>
      </c>
      <c r="Q8" s="4">
        <v>3</v>
      </c>
      <c r="R8" s="18">
        <v>0.01</v>
      </c>
      <c r="U8" s="2">
        <v>4</v>
      </c>
      <c r="V8" s="1" t="s">
        <v>4</v>
      </c>
      <c r="W8" s="15">
        <v>97.8</v>
      </c>
      <c r="X8" s="16">
        <v>101</v>
      </c>
      <c r="Y8" s="4">
        <v>3</v>
      </c>
      <c r="Z8" s="3">
        <v>2.2999999999999998</v>
      </c>
      <c r="AA8" s="17">
        <v>0</v>
      </c>
      <c r="AB8" s="18" t="s">
        <v>53</v>
      </c>
      <c r="AC8" s="15">
        <v>98.5</v>
      </c>
      <c r="AD8" s="16">
        <v>101</v>
      </c>
      <c r="AE8" s="4">
        <v>2</v>
      </c>
      <c r="AF8" s="3" t="s">
        <v>54</v>
      </c>
      <c r="AG8" s="17">
        <v>0</v>
      </c>
      <c r="AH8" s="18" t="s">
        <v>55</v>
      </c>
      <c r="AI8" s="15">
        <v>99.1</v>
      </c>
      <c r="AJ8" s="16">
        <v>101.6</v>
      </c>
      <c r="AK8" s="4">
        <v>4</v>
      </c>
      <c r="AL8" s="3" t="s">
        <v>56</v>
      </c>
      <c r="AM8" s="17">
        <v>0</v>
      </c>
      <c r="AN8" s="18" t="s">
        <v>57</v>
      </c>
      <c r="AO8" s="15">
        <v>101.6</v>
      </c>
      <c r="AP8" s="16">
        <v>101.6</v>
      </c>
      <c r="AQ8" s="4">
        <v>3</v>
      </c>
      <c r="AR8" s="3" t="s">
        <v>56</v>
      </c>
      <c r="AS8" s="17">
        <v>0</v>
      </c>
      <c r="AT8" s="18" t="s">
        <v>57</v>
      </c>
      <c r="AV8" s="2">
        <v>4</v>
      </c>
      <c r="AW8" s="1" t="s">
        <v>4</v>
      </c>
      <c r="AX8" s="31">
        <v>95.4</v>
      </c>
      <c r="AY8" s="32">
        <v>102.8</v>
      </c>
      <c r="AZ8" s="33">
        <v>4</v>
      </c>
      <c r="BA8" s="34" t="s">
        <v>108</v>
      </c>
      <c r="BB8" s="35" t="s">
        <v>109</v>
      </c>
    </row>
    <row r="9" spans="1:54" ht="23.25" x14ac:dyDescent="0.7">
      <c r="A9" s="21" t="s">
        <v>96</v>
      </c>
      <c r="B9" s="1" t="s">
        <v>1</v>
      </c>
      <c r="C9" s="15">
        <v>89.7</v>
      </c>
      <c r="D9" s="24">
        <v>109.6</v>
      </c>
      <c r="E9" s="4">
        <v>4</v>
      </c>
      <c r="F9" s="18">
        <v>0.1</v>
      </c>
      <c r="G9" s="15">
        <v>95.8</v>
      </c>
      <c r="H9" s="24">
        <v>109.8</v>
      </c>
      <c r="I9" s="4">
        <v>3</v>
      </c>
      <c r="J9" s="18">
        <v>0.1</v>
      </c>
      <c r="K9" s="15">
        <v>92.1</v>
      </c>
      <c r="L9" s="24">
        <v>96</v>
      </c>
      <c r="M9" s="4">
        <v>3</v>
      </c>
      <c r="N9" s="18">
        <v>0.01</v>
      </c>
      <c r="O9" s="15">
        <v>94.1</v>
      </c>
      <c r="P9" s="24">
        <v>96</v>
      </c>
      <c r="Q9" s="4">
        <v>3</v>
      </c>
      <c r="R9" s="18">
        <v>0.01</v>
      </c>
      <c r="U9" s="2">
        <v>5</v>
      </c>
      <c r="V9" s="1" t="s">
        <v>5</v>
      </c>
      <c r="W9" s="15">
        <v>76.400000000000006</v>
      </c>
      <c r="X9" s="16">
        <v>96.3</v>
      </c>
      <c r="Y9" s="4">
        <v>4</v>
      </c>
      <c r="Z9" s="3">
        <v>3.5</v>
      </c>
      <c r="AA9" s="17" t="s">
        <v>58</v>
      </c>
      <c r="AB9" s="18" t="s">
        <v>59</v>
      </c>
      <c r="AC9" s="15">
        <v>83</v>
      </c>
      <c r="AD9" s="16">
        <v>96.3</v>
      </c>
      <c r="AE9" s="4">
        <v>3</v>
      </c>
      <c r="AF9" s="3" t="s">
        <v>44</v>
      </c>
      <c r="AG9" s="17">
        <v>0</v>
      </c>
      <c r="AH9" s="18" t="s">
        <v>60</v>
      </c>
      <c r="AI9" s="15">
        <v>72.400000000000006</v>
      </c>
      <c r="AJ9" s="16">
        <v>98.5</v>
      </c>
      <c r="AK9" s="4">
        <v>4</v>
      </c>
      <c r="AL9" s="3">
        <v>0</v>
      </c>
      <c r="AM9" s="17" t="s">
        <v>61</v>
      </c>
      <c r="AN9" s="18" t="s">
        <v>57</v>
      </c>
      <c r="AO9" s="15">
        <v>81.7</v>
      </c>
      <c r="AP9" s="16">
        <v>98.5</v>
      </c>
      <c r="AQ9" s="4">
        <v>3</v>
      </c>
      <c r="AR9" s="3">
        <v>0</v>
      </c>
      <c r="AS9" s="17">
        <v>0</v>
      </c>
      <c r="AT9" s="18" t="s">
        <v>62</v>
      </c>
      <c r="AV9" s="2">
        <v>5</v>
      </c>
      <c r="AW9" s="1" t="s">
        <v>5</v>
      </c>
      <c r="AX9" s="31">
        <v>69.5</v>
      </c>
      <c r="AY9" s="32">
        <v>90.5</v>
      </c>
      <c r="AZ9" s="33">
        <v>4</v>
      </c>
      <c r="BA9" s="34" t="s">
        <v>110</v>
      </c>
      <c r="BB9" s="35" t="s">
        <v>111</v>
      </c>
    </row>
    <row r="10" spans="1:54" ht="23.25" x14ac:dyDescent="0.7">
      <c r="A10" s="22" t="s">
        <v>92</v>
      </c>
      <c r="B10" s="5" t="s">
        <v>2</v>
      </c>
      <c r="C10" s="15">
        <v>77.599999999999994</v>
      </c>
      <c r="D10" s="24">
        <v>97.3</v>
      </c>
      <c r="E10" s="4">
        <v>4</v>
      </c>
      <c r="F10" s="18">
        <v>0.1</v>
      </c>
      <c r="G10" s="15">
        <v>77.599999999999994</v>
      </c>
      <c r="H10" s="24">
        <v>97.3</v>
      </c>
      <c r="I10" s="4">
        <v>4</v>
      </c>
      <c r="J10" s="18">
        <v>0.1</v>
      </c>
      <c r="K10" s="15">
        <v>85.7</v>
      </c>
      <c r="L10" s="24">
        <v>90.6</v>
      </c>
      <c r="M10" s="4">
        <v>4</v>
      </c>
      <c r="N10" s="18">
        <v>0.01</v>
      </c>
      <c r="O10" s="15">
        <v>84.7</v>
      </c>
      <c r="P10" s="24">
        <v>90.6</v>
      </c>
      <c r="Q10" s="4">
        <v>4</v>
      </c>
      <c r="R10" s="18">
        <v>0.02</v>
      </c>
      <c r="U10" s="2">
        <v>6</v>
      </c>
      <c r="V10" s="1" t="s">
        <v>6</v>
      </c>
      <c r="W10" s="15">
        <v>72.400000000000006</v>
      </c>
      <c r="X10" s="16">
        <v>77</v>
      </c>
      <c r="Y10" s="4">
        <v>3</v>
      </c>
      <c r="Z10" s="3">
        <v>0</v>
      </c>
      <c r="AA10" s="17">
        <v>0</v>
      </c>
      <c r="AB10" s="18" t="s">
        <v>63</v>
      </c>
      <c r="AC10" s="15">
        <v>74.400000000000006</v>
      </c>
      <c r="AD10" s="16">
        <v>77</v>
      </c>
      <c r="AE10" s="4">
        <v>2</v>
      </c>
      <c r="AF10" s="3">
        <v>0</v>
      </c>
      <c r="AG10" s="17">
        <v>0</v>
      </c>
      <c r="AH10" s="18" t="s">
        <v>39</v>
      </c>
      <c r="AI10" s="15">
        <v>80</v>
      </c>
      <c r="AJ10" s="16">
        <v>80</v>
      </c>
      <c r="AK10" s="4">
        <v>2</v>
      </c>
      <c r="AL10" s="3" t="s">
        <v>64</v>
      </c>
      <c r="AM10" s="17">
        <v>0</v>
      </c>
      <c r="AN10" s="18" t="s">
        <v>65</v>
      </c>
      <c r="AO10" s="15">
        <v>80</v>
      </c>
      <c r="AP10" s="16">
        <v>80</v>
      </c>
      <c r="AQ10" s="4">
        <v>2</v>
      </c>
      <c r="AR10" s="3" t="s">
        <v>64</v>
      </c>
      <c r="AS10" s="17">
        <v>0</v>
      </c>
      <c r="AT10" s="18" t="s">
        <v>66</v>
      </c>
      <c r="AV10" s="2">
        <v>6</v>
      </c>
      <c r="AW10" s="1" t="s">
        <v>6</v>
      </c>
      <c r="AX10" s="31">
        <v>67.599999999999994</v>
      </c>
      <c r="AY10" s="32">
        <v>76</v>
      </c>
      <c r="AZ10" s="33">
        <v>4</v>
      </c>
      <c r="BA10" s="34">
        <v>0</v>
      </c>
      <c r="BB10" s="35" t="s">
        <v>112</v>
      </c>
    </row>
    <row r="11" spans="1:54" ht="23.25" x14ac:dyDescent="0.7">
      <c r="A11" s="22" t="s">
        <v>93</v>
      </c>
      <c r="B11" s="5" t="s">
        <v>2</v>
      </c>
      <c r="C11" s="15">
        <v>85.6</v>
      </c>
      <c r="D11" s="24">
        <v>90.8</v>
      </c>
      <c r="E11" s="4">
        <v>5</v>
      </c>
      <c r="F11" s="18">
        <v>0.01</v>
      </c>
      <c r="G11" s="15">
        <v>83.1</v>
      </c>
      <c r="H11" s="24">
        <v>90.8</v>
      </c>
      <c r="I11" s="4">
        <v>4</v>
      </c>
      <c r="J11" s="18">
        <v>0.1</v>
      </c>
      <c r="K11" s="15">
        <v>84.4</v>
      </c>
      <c r="L11" s="24">
        <v>85.2</v>
      </c>
      <c r="M11" s="4">
        <v>4</v>
      </c>
      <c r="N11" s="18">
        <v>0.01</v>
      </c>
      <c r="O11" s="15">
        <v>84.4</v>
      </c>
      <c r="P11" s="24">
        <v>85.2</v>
      </c>
      <c r="Q11" s="4">
        <v>4</v>
      </c>
      <c r="R11" s="18">
        <v>0.01</v>
      </c>
      <c r="U11" s="2">
        <v>7</v>
      </c>
      <c r="V11" s="1" t="s">
        <v>7</v>
      </c>
      <c r="W11" s="15">
        <v>96.8</v>
      </c>
      <c r="X11" s="16">
        <v>117.3</v>
      </c>
      <c r="Y11" s="4">
        <v>4</v>
      </c>
      <c r="Z11" s="3">
        <v>12.9</v>
      </c>
      <c r="AA11" s="17">
        <v>0</v>
      </c>
      <c r="AB11" s="18" t="s">
        <v>67</v>
      </c>
      <c r="AC11" s="15">
        <v>96.8</v>
      </c>
      <c r="AD11" s="16">
        <v>117.3</v>
      </c>
      <c r="AE11" s="4">
        <v>4</v>
      </c>
      <c r="AF11" s="3" t="s">
        <v>68</v>
      </c>
      <c r="AG11" s="17">
        <v>0</v>
      </c>
      <c r="AH11" s="18" t="s">
        <v>69</v>
      </c>
      <c r="AI11" s="15">
        <v>90.6</v>
      </c>
      <c r="AJ11" s="16">
        <v>104.4</v>
      </c>
      <c r="AK11" s="4">
        <v>4</v>
      </c>
      <c r="AL11" s="3">
        <v>0</v>
      </c>
      <c r="AM11" s="17">
        <v>0</v>
      </c>
      <c r="AN11" s="18" t="s">
        <v>70</v>
      </c>
      <c r="AO11" s="15">
        <v>91</v>
      </c>
      <c r="AP11" s="16">
        <v>104.4</v>
      </c>
      <c r="AQ11" s="4">
        <v>3</v>
      </c>
      <c r="AR11" s="3">
        <v>0</v>
      </c>
      <c r="AS11" s="17">
        <v>0</v>
      </c>
      <c r="AT11" s="18" t="s">
        <v>70</v>
      </c>
      <c r="AV11" s="2">
        <v>7</v>
      </c>
      <c r="AW11" s="1" t="s">
        <v>7</v>
      </c>
      <c r="AX11" s="31">
        <v>80</v>
      </c>
      <c r="AY11" s="32">
        <v>110.6</v>
      </c>
      <c r="AZ11" s="33">
        <v>4</v>
      </c>
      <c r="BA11" s="34" t="s">
        <v>113</v>
      </c>
      <c r="BB11" s="35" t="s">
        <v>114</v>
      </c>
    </row>
    <row r="12" spans="1:54" ht="23.25" x14ac:dyDescent="0.7">
      <c r="A12" s="22" t="s">
        <v>94</v>
      </c>
      <c r="B12" s="5" t="s">
        <v>2</v>
      </c>
      <c r="C12" s="15">
        <v>84.5</v>
      </c>
      <c r="D12" s="24">
        <v>90.8</v>
      </c>
      <c r="E12" s="4">
        <v>5</v>
      </c>
      <c r="F12" s="18">
        <v>0.02</v>
      </c>
      <c r="G12" s="15">
        <v>82.1</v>
      </c>
      <c r="H12" s="24">
        <v>90.8</v>
      </c>
      <c r="I12" s="4">
        <v>4</v>
      </c>
      <c r="J12" s="18">
        <v>0.1</v>
      </c>
      <c r="K12" s="15">
        <v>83.4</v>
      </c>
      <c r="L12" s="24">
        <v>85.2</v>
      </c>
      <c r="M12" s="4">
        <v>4</v>
      </c>
      <c r="N12" s="18">
        <v>0.01</v>
      </c>
      <c r="O12" s="15">
        <v>83.6</v>
      </c>
      <c r="P12" s="24">
        <v>85.2</v>
      </c>
      <c r="Q12" s="4">
        <v>4</v>
      </c>
      <c r="R12" s="18">
        <v>0.01</v>
      </c>
      <c r="U12" s="2">
        <v>8</v>
      </c>
      <c r="V12" s="1" t="s">
        <v>8</v>
      </c>
      <c r="W12" s="15">
        <v>96.4</v>
      </c>
      <c r="X12" s="16">
        <v>102.4</v>
      </c>
      <c r="Y12" s="4">
        <v>2</v>
      </c>
      <c r="Z12" s="3">
        <v>2.9</v>
      </c>
      <c r="AA12" s="17">
        <v>0</v>
      </c>
      <c r="AB12" s="18" t="s">
        <v>70</v>
      </c>
      <c r="AC12" s="15">
        <v>102.4</v>
      </c>
      <c r="AD12" s="16">
        <v>102.4</v>
      </c>
      <c r="AE12" s="4">
        <v>1</v>
      </c>
      <c r="AF12" s="3" t="s">
        <v>71</v>
      </c>
      <c r="AG12" s="17">
        <v>0</v>
      </c>
      <c r="AH12" s="18" t="s">
        <v>47</v>
      </c>
      <c r="AI12" s="15">
        <v>94.7</v>
      </c>
      <c r="AJ12" s="16">
        <v>96.2</v>
      </c>
      <c r="AK12" s="4">
        <v>3</v>
      </c>
      <c r="AL12" s="3">
        <v>0</v>
      </c>
      <c r="AM12" s="17" t="s">
        <v>71</v>
      </c>
      <c r="AN12" s="18" t="s">
        <v>57</v>
      </c>
      <c r="AO12" s="15">
        <v>94.8</v>
      </c>
      <c r="AP12" s="16">
        <v>96.2</v>
      </c>
      <c r="AQ12" s="4">
        <v>3</v>
      </c>
      <c r="AR12" s="3">
        <v>0</v>
      </c>
      <c r="AS12" s="17" t="s">
        <v>72</v>
      </c>
      <c r="AT12" s="18" t="s">
        <v>57</v>
      </c>
      <c r="AV12" s="2">
        <v>8</v>
      </c>
      <c r="AW12" s="1" t="s">
        <v>8</v>
      </c>
      <c r="AX12" s="31">
        <v>89.4</v>
      </c>
      <c r="AY12" s="32">
        <v>96.2</v>
      </c>
      <c r="AZ12" s="33">
        <v>3</v>
      </c>
      <c r="BA12" s="34" t="s">
        <v>115</v>
      </c>
      <c r="BB12" s="35" t="s">
        <v>116</v>
      </c>
    </row>
    <row r="13" spans="1:54" ht="23.25" x14ac:dyDescent="0.7">
      <c r="A13" s="22" t="s">
        <v>95</v>
      </c>
      <c r="B13" s="5" t="s">
        <v>2</v>
      </c>
      <c r="C13" s="15">
        <v>78.7</v>
      </c>
      <c r="D13" s="24">
        <v>97.3</v>
      </c>
      <c r="E13" s="4">
        <v>4</v>
      </c>
      <c r="F13" s="18">
        <v>0.1</v>
      </c>
      <c r="G13" s="15">
        <v>79.599999999999994</v>
      </c>
      <c r="H13" s="24">
        <v>97.3</v>
      </c>
      <c r="I13" s="4">
        <v>4</v>
      </c>
      <c r="J13" s="18">
        <v>0.1</v>
      </c>
      <c r="K13" s="15">
        <v>84.9</v>
      </c>
      <c r="L13" s="24">
        <v>90.6</v>
      </c>
      <c r="M13" s="4">
        <v>5</v>
      </c>
      <c r="N13" s="18">
        <v>0.01</v>
      </c>
      <c r="O13" s="15">
        <v>85.4</v>
      </c>
      <c r="P13" s="24">
        <v>90.6</v>
      </c>
      <c r="Q13" s="4">
        <v>4</v>
      </c>
      <c r="R13" s="18">
        <v>0.01</v>
      </c>
      <c r="U13" s="2">
        <v>9</v>
      </c>
      <c r="V13" s="1" t="s">
        <v>9</v>
      </c>
      <c r="W13" s="15">
        <v>67.099999999999994</v>
      </c>
      <c r="X13" s="16">
        <v>76.5</v>
      </c>
      <c r="Y13" s="4">
        <v>2</v>
      </c>
      <c r="Z13" s="3">
        <v>0.9</v>
      </c>
      <c r="AA13" s="17">
        <v>0</v>
      </c>
      <c r="AB13" s="18" t="s">
        <v>73</v>
      </c>
      <c r="AC13" s="15">
        <v>73.3</v>
      </c>
      <c r="AD13" s="16">
        <v>76.5</v>
      </c>
      <c r="AE13" s="4">
        <v>2</v>
      </c>
      <c r="AF13" s="3" t="s">
        <v>74</v>
      </c>
      <c r="AG13" s="17" t="s">
        <v>74</v>
      </c>
      <c r="AH13" s="18" t="s">
        <v>75</v>
      </c>
      <c r="AI13" s="15">
        <v>68.599999999999994</v>
      </c>
      <c r="AJ13" s="16">
        <v>76.400000000000006</v>
      </c>
      <c r="AK13" s="4">
        <v>3</v>
      </c>
      <c r="AL13" s="3">
        <v>0</v>
      </c>
      <c r="AM13" s="17" t="s">
        <v>76</v>
      </c>
      <c r="AN13" s="18" t="s">
        <v>70</v>
      </c>
      <c r="AO13" s="15">
        <v>64.5</v>
      </c>
      <c r="AP13" s="16">
        <v>76.400000000000006</v>
      </c>
      <c r="AQ13" s="4">
        <v>4</v>
      </c>
      <c r="AR13" s="3">
        <v>0</v>
      </c>
      <c r="AS13" s="17" t="s">
        <v>76</v>
      </c>
      <c r="AT13" s="18" t="s">
        <v>57</v>
      </c>
      <c r="AV13" s="2">
        <v>9</v>
      </c>
      <c r="AW13" s="1" t="s">
        <v>9</v>
      </c>
      <c r="AX13" s="31">
        <v>64.5</v>
      </c>
      <c r="AY13" s="32">
        <v>82.2</v>
      </c>
      <c r="AZ13" s="33">
        <v>4</v>
      </c>
      <c r="BA13" s="34" t="s">
        <v>113</v>
      </c>
      <c r="BB13" s="35" t="s">
        <v>117</v>
      </c>
    </row>
    <row r="14" spans="1:54" ht="23.25" x14ac:dyDescent="0.7">
      <c r="A14" s="22" t="s">
        <v>96</v>
      </c>
      <c r="B14" s="5" t="s">
        <v>2</v>
      </c>
      <c r="C14" s="15">
        <v>73.5</v>
      </c>
      <c r="D14" s="24">
        <v>85.2</v>
      </c>
      <c r="E14" s="4">
        <v>4</v>
      </c>
      <c r="F14" s="18">
        <v>0.1</v>
      </c>
      <c r="G14" s="15">
        <v>78.099999999999994</v>
      </c>
      <c r="H14" s="24">
        <v>85.2</v>
      </c>
      <c r="I14" s="4">
        <v>2</v>
      </c>
      <c r="J14" s="18">
        <v>0.1</v>
      </c>
      <c r="K14" s="15">
        <v>83.5</v>
      </c>
      <c r="L14" s="24">
        <v>83.5</v>
      </c>
      <c r="M14" s="4">
        <v>2</v>
      </c>
      <c r="N14" s="18">
        <v>0.01</v>
      </c>
      <c r="O14" s="15">
        <v>83.5</v>
      </c>
      <c r="P14" s="24">
        <v>83.5</v>
      </c>
      <c r="Q14" s="4">
        <v>2</v>
      </c>
      <c r="R14" s="18">
        <v>0.01</v>
      </c>
      <c r="U14" s="2">
        <v>10</v>
      </c>
      <c r="V14" s="1" t="s">
        <v>10</v>
      </c>
      <c r="W14" s="15">
        <v>81.099999999999994</v>
      </c>
      <c r="X14" s="16">
        <v>97.3</v>
      </c>
      <c r="Y14" s="4">
        <v>4</v>
      </c>
      <c r="Z14" s="3">
        <v>3.2</v>
      </c>
      <c r="AA14" s="17">
        <v>0</v>
      </c>
      <c r="AB14" s="18" t="s">
        <v>77</v>
      </c>
      <c r="AC14" s="15">
        <v>93.8</v>
      </c>
      <c r="AD14" s="16">
        <v>97.3</v>
      </c>
      <c r="AE14" s="4">
        <v>3</v>
      </c>
      <c r="AF14" s="3" t="s">
        <v>78</v>
      </c>
      <c r="AG14" s="17" t="s">
        <v>79</v>
      </c>
      <c r="AH14" s="18" t="s">
        <v>80</v>
      </c>
      <c r="AI14" s="15">
        <v>85.8</v>
      </c>
      <c r="AJ14" s="16">
        <v>92.8</v>
      </c>
      <c r="AK14" s="4">
        <v>5</v>
      </c>
      <c r="AL14" s="3" t="s">
        <v>81</v>
      </c>
      <c r="AM14" s="17">
        <v>0</v>
      </c>
      <c r="AN14" s="18" t="s">
        <v>82</v>
      </c>
      <c r="AO14" s="15">
        <v>84.2</v>
      </c>
      <c r="AP14" s="16">
        <v>92.4</v>
      </c>
      <c r="AQ14" s="4">
        <v>5</v>
      </c>
      <c r="AR14" s="3" t="s">
        <v>81</v>
      </c>
      <c r="AS14" s="17">
        <v>0</v>
      </c>
      <c r="AT14" s="18" t="s">
        <v>82</v>
      </c>
      <c r="AV14" s="2">
        <v>10</v>
      </c>
      <c r="AW14" s="1" t="s">
        <v>10</v>
      </c>
      <c r="AX14" s="31">
        <v>76.099999999999994</v>
      </c>
      <c r="AY14" s="32">
        <v>96.2</v>
      </c>
      <c r="AZ14" s="33">
        <v>5</v>
      </c>
      <c r="BA14" s="34">
        <v>0</v>
      </c>
      <c r="BB14" s="35" t="s">
        <v>118</v>
      </c>
    </row>
    <row r="15" spans="1:54" ht="23.25" x14ac:dyDescent="0.7">
      <c r="A15" s="21" t="s">
        <v>92</v>
      </c>
      <c r="B15" s="19" t="s">
        <v>3</v>
      </c>
      <c r="C15" s="15">
        <v>78.900000000000006</v>
      </c>
      <c r="D15" s="24">
        <v>97.2</v>
      </c>
      <c r="E15" s="4">
        <v>5</v>
      </c>
      <c r="F15" s="18">
        <v>0.1</v>
      </c>
      <c r="G15" s="15">
        <v>86.6</v>
      </c>
      <c r="H15" s="24">
        <v>97.2</v>
      </c>
      <c r="I15" s="4">
        <v>5</v>
      </c>
      <c r="J15" s="18">
        <v>0.2</v>
      </c>
      <c r="K15" s="15">
        <v>87.4</v>
      </c>
      <c r="L15" s="24">
        <v>91.4</v>
      </c>
      <c r="M15" s="4">
        <v>5</v>
      </c>
      <c r="N15" s="18">
        <v>0.2</v>
      </c>
      <c r="O15" s="15">
        <v>81.599999999999994</v>
      </c>
      <c r="P15" s="24">
        <v>91.4</v>
      </c>
      <c r="Q15" s="4">
        <v>4</v>
      </c>
      <c r="R15" s="18">
        <v>0.01</v>
      </c>
      <c r="U15" s="2">
        <v>11</v>
      </c>
      <c r="V15" s="1" t="s">
        <v>14</v>
      </c>
      <c r="W15" s="15">
        <v>91.6</v>
      </c>
      <c r="X15" s="16">
        <v>100.3</v>
      </c>
      <c r="Y15" s="4">
        <v>3</v>
      </c>
      <c r="Z15" s="3">
        <v>2</v>
      </c>
      <c r="AA15" s="17">
        <v>0</v>
      </c>
      <c r="AB15" s="18">
        <v>1</v>
      </c>
      <c r="AC15" s="15">
        <v>91.6</v>
      </c>
      <c r="AD15" s="16">
        <v>100.3</v>
      </c>
      <c r="AE15" s="4">
        <v>3</v>
      </c>
      <c r="AF15" s="3">
        <v>2</v>
      </c>
      <c r="AG15" s="17">
        <v>0</v>
      </c>
      <c r="AH15" s="18">
        <v>1</v>
      </c>
      <c r="AI15" s="15">
        <v>91.6</v>
      </c>
      <c r="AJ15" s="16">
        <v>118.1</v>
      </c>
      <c r="AK15" s="4">
        <v>3</v>
      </c>
      <c r="AL15" s="3">
        <v>0</v>
      </c>
      <c r="AM15" s="17">
        <v>0</v>
      </c>
      <c r="AN15" s="18">
        <v>0.1</v>
      </c>
      <c r="AO15" s="15">
        <v>93.2</v>
      </c>
      <c r="AP15" s="16">
        <v>118.1</v>
      </c>
      <c r="AQ15" s="4">
        <v>4</v>
      </c>
      <c r="AR15" s="3">
        <v>0</v>
      </c>
      <c r="AS15" s="17" t="s">
        <v>46</v>
      </c>
      <c r="AT15" s="18">
        <v>0.1</v>
      </c>
      <c r="AV15" s="2">
        <v>11</v>
      </c>
      <c r="AW15" s="1" t="s">
        <v>14</v>
      </c>
      <c r="AX15" s="31">
        <v>91.6</v>
      </c>
      <c r="AY15" s="32">
        <v>102.2</v>
      </c>
      <c r="AZ15" s="33">
        <v>3</v>
      </c>
      <c r="BA15" s="34">
        <v>0</v>
      </c>
      <c r="BB15" s="35">
        <v>58.2</v>
      </c>
    </row>
    <row r="16" spans="1:54" ht="23.25" x14ac:dyDescent="0.7">
      <c r="A16" s="21" t="s">
        <v>93</v>
      </c>
      <c r="B16" s="19" t="s">
        <v>3</v>
      </c>
      <c r="C16" s="15">
        <v>80.5</v>
      </c>
      <c r="D16" s="24">
        <v>97.2</v>
      </c>
      <c r="E16" s="4">
        <v>5</v>
      </c>
      <c r="F16" s="18">
        <v>0.1</v>
      </c>
      <c r="G16" s="15">
        <v>89</v>
      </c>
      <c r="H16" s="24">
        <v>97.2</v>
      </c>
      <c r="I16" s="4">
        <v>5</v>
      </c>
      <c r="J16" s="18">
        <v>0.2</v>
      </c>
      <c r="K16" s="15">
        <v>86.9</v>
      </c>
      <c r="L16" s="24">
        <v>91.4</v>
      </c>
      <c r="M16" s="4">
        <v>3</v>
      </c>
      <c r="N16" s="18">
        <v>0.02</v>
      </c>
      <c r="O16" s="15">
        <v>82.8</v>
      </c>
      <c r="P16" s="24">
        <v>91.4</v>
      </c>
      <c r="Q16" s="4">
        <v>4</v>
      </c>
      <c r="R16" s="18">
        <v>0.01</v>
      </c>
      <c r="U16" s="2">
        <v>12</v>
      </c>
      <c r="V16" s="1" t="s">
        <v>15</v>
      </c>
      <c r="W16" s="15">
        <v>96.8</v>
      </c>
      <c r="X16" s="16">
        <v>104</v>
      </c>
      <c r="Y16" s="4">
        <v>3</v>
      </c>
      <c r="Z16" s="3">
        <v>2.4</v>
      </c>
      <c r="AA16" s="17">
        <v>3.4</v>
      </c>
      <c r="AB16" s="18">
        <v>1.2</v>
      </c>
      <c r="AC16" s="15">
        <v>100.6</v>
      </c>
      <c r="AD16" s="16">
        <v>104</v>
      </c>
      <c r="AE16" s="4">
        <v>2</v>
      </c>
      <c r="AF16" s="3">
        <v>2.4</v>
      </c>
      <c r="AG16" s="17">
        <v>0.5</v>
      </c>
      <c r="AH16" s="18">
        <v>4</v>
      </c>
      <c r="AI16" s="15">
        <v>92.7</v>
      </c>
      <c r="AJ16" s="16">
        <v>96.5</v>
      </c>
      <c r="AK16" s="4">
        <v>3</v>
      </c>
      <c r="AL16" s="3">
        <v>0</v>
      </c>
      <c r="AM16" s="17">
        <v>0</v>
      </c>
      <c r="AN16" s="18">
        <v>0.1</v>
      </c>
      <c r="AO16" s="15">
        <v>96.5</v>
      </c>
      <c r="AP16" s="16">
        <v>96.5</v>
      </c>
      <c r="AQ16" s="4">
        <v>2</v>
      </c>
      <c r="AR16" s="3">
        <v>0</v>
      </c>
      <c r="AS16" s="17">
        <v>0</v>
      </c>
      <c r="AT16" s="18">
        <v>0.1</v>
      </c>
      <c r="AV16" s="2">
        <v>12</v>
      </c>
      <c r="AW16" s="1" t="s">
        <v>15</v>
      </c>
      <c r="AX16" s="31">
        <v>92.7</v>
      </c>
      <c r="AY16" s="32">
        <v>105.7</v>
      </c>
      <c r="AZ16" s="33">
        <v>3</v>
      </c>
      <c r="BA16" s="34">
        <v>0</v>
      </c>
      <c r="BB16" s="35">
        <v>48.1</v>
      </c>
    </row>
    <row r="17" spans="1:54" ht="23.25" x14ac:dyDescent="0.7">
      <c r="A17" s="21" t="s">
        <v>94</v>
      </c>
      <c r="B17" s="19" t="s">
        <v>3</v>
      </c>
      <c r="C17" s="15">
        <v>79.3</v>
      </c>
      <c r="D17" s="24">
        <v>97.2</v>
      </c>
      <c r="E17" s="4">
        <v>5</v>
      </c>
      <c r="F17" s="18">
        <v>0.1</v>
      </c>
      <c r="G17" s="15">
        <v>87.4</v>
      </c>
      <c r="H17" s="24">
        <v>97.2</v>
      </c>
      <c r="I17" s="4">
        <v>5</v>
      </c>
      <c r="J17" s="18">
        <v>0.2</v>
      </c>
      <c r="K17" s="15">
        <v>88.3</v>
      </c>
      <c r="L17" s="24">
        <v>91.4</v>
      </c>
      <c r="M17" s="4">
        <v>3</v>
      </c>
      <c r="N17" s="18">
        <v>0.01</v>
      </c>
      <c r="O17" s="15">
        <v>81.3</v>
      </c>
      <c r="P17" s="24">
        <v>91.4</v>
      </c>
      <c r="Q17" s="4">
        <v>4</v>
      </c>
      <c r="R17" s="18">
        <v>0.01</v>
      </c>
      <c r="U17" s="2">
        <v>13</v>
      </c>
      <c r="V17" s="1" t="s">
        <v>16</v>
      </c>
      <c r="W17" s="15">
        <v>76.599999999999994</v>
      </c>
      <c r="X17" s="16">
        <v>97.5</v>
      </c>
      <c r="Y17" s="4">
        <v>5</v>
      </c>
      <c r="Z17" s="3">
        <v>0</v>
      </c>
      <c r="AA17" s="17">
        <v>5.0999999999999996</v>
      </c>
      <c r="AB17" s="18">
        <v>127.5</v>
      </c>
      <c r="AC17" s="15">
        <v>73.8</v>
      </c>
      <c r="AD17" s="16">
        <v>97.5</v>
      </c>
      <c r="AE17" s="4">
        <v>4</v>
      </c>
      <c r="AF17" s="3">
        <v>0</v>
      </c>
      <c r="AG17" s="17">
        <v>6.4</v>
      </c>
      <c r="AH17" s="18">
        <v>69.3</v>
      </c>
      <c r="AI17" s="15">
        <v>78.900000000000006</v>
      </c>
      <c r="AJ17" s="16">
        <v>87.1</v>
      </c>
      <c r="AK17" s="4">
        <v>3</v>
      </c>
      <c r="AL17" s="3">
        <v>8</v>
      </c>
      <c r="AM17" s="17">
        <v>0.4</v>
      </c>
      <c r="AN17" s="18">
        <v>43.1</v>
      </c>
      <c r="AO17" s="15">
        <v>78.900000000000006</v>
      </c>
      <c r="AP17" s="16">
        <v>87.1</v>
      </c>
      <c r="AQ17" s="4">
        <v>3</v>
      </c>
      <c r="AR17" s="3">
        <v>8</v>
      </c>
      <c r="AS17" s="17">
        <v>0.4</v>
      </c>
      <c r="AT17" s="18">
        <v>36.799999999999997</v>
      </c>
      <c r="AV17" s="2">
        <v>13</v>
      </c>
      <c r="AW17" s="1" t="s">
        <v>16</v>
      </c>
      <c r="AX17" s="31">
        <v>70</v>
      </c>
      <c r="AY17" s="32">
        <v>99.9</v>
      </c>
      <c r="AZ17" s="33">
        <v>3</v>
      </c>
      <c r="BA17" s="34">
        <v>5.2</v>
      </c>
      <c r="BB17" s="35">
        <v>231.4</v>
      </c>
    </row>
    <row r="18" spans="1:54" ht="23.25" x14ac:dyDescent="0.7">
      <c r="A18" s="21" t="s">
        <v>95</v>
      </c>
      <c r="B18" s="19" t="s">
        <v>3</v>
      </c>
      <c r="C18" s="15">
        <v>79.7</v>
      </c>
      <c r="D18" s="24">
        <v>97.2</v>
      </c>
      <c r="E18" s="4">
        <v>5</v>
      </c>
      <c r="F18" s="18">
        <v>0.1</v>
      </c>
      <c r="G18" s="15">
        <v>88.2</v>
      </c>
      <c r="H18" s="24">
        <v>97.2</v>
      </c>
      <c r="I18" s="4">
        <v>5</v>
      </c>
      <c r="J18" s="18">
        <v>0.2</v>
      </c>
      <c r="K18" s="15">
        <v>87.1</v>
      </c>
      <c r="L18" s="24">
        <v>91.4</v>
      </c>
      <c r="M18" s="4">
        <v>3</v>
      </c>
      <c r="N18" s="18">
        <v>0.01</v>
      </c>
      <c r="O18" s="15">
        <v>82.1</v>
      </c>
      <c r="P18" s="24">
        <v>91.4</v>
      </c>
      <c r="Q18" s="4">
        <v>4</v>
      </c>
      <c r="R18" s="18">
        <v>0.01</v>
      </c>
      <c r="U18" s="2">
        <v>14</v>
      </c>
      <c r="V18" s="1" t="s">
        <v>17</v>
      </c>
      <c r="W18" s="15">
        <v>93.8</v>
      </c>
      <c r="X18" s="16">
        <v>109.4</v>
      </c>
      <c r="Y18" s="4">
        <v>3</v>
      </c>
      <c r="Z18" s="3">
        <v>0</v>
      </c>
      <c r="AA18" s="17">
        <v>1.4</v>
      </c>
      <c r="AB18" s="18">
        <v>16.899999999999999</v>
      </c>
      <c r="AC18" s="15">
        <v>87.8</v>
      </c>
      <c r="AD18" s="16">
        <v>109.4</v>
      </c>
      <c r="AE18" s="4">
        <v>3</v>
      </c>
      <c r="AF18" s="3">
        <v>0</v>
      </c>
      <c r="AG18" s="17">
        <v>1.1000000000000001</v>
      </c>
      <c r="AH18" s="18">
        <v>30.6</v>
      </c>
      <c r="AI18" s="15">
        <v>94.1</v>
      </c>
      <c r="AJ18" s="16">
        <v>105.1</v>
      </c>
      <c r="AK18" s="4">
        <v>3</v>
      </c>
      <c r="AL18" s="3">
        <v>5.0999999999999996</v>
      </c>
      <c r="AM18" s="17">
        <v>0</v>
      </c>
      <c r="AN18" s="18">
        <v>60.3</v>
      </c>
      <c r="AO18" s="15">
        <v>99.7</v>
      </c>
      <c r="AP18" s="16">
        <v>105.1</v>
      </c>
      <c r="AQ18" s="4">
        <v>2</v>
      </c>
      <c r="AR18" s="3">
        <v>13</v>
      </c>
      <c r="AS18" s="17">
        <v>2.2999999999999998</v>
      </c>
      <c r="AT18" s="18">
        <v>20.3</v>
      </c>
      <c r="AV18" s="2">
        <v>14</v>
      </c>
      <c r="AW18" s="1" t="s">
        <v>17</v>
      </c>
      <c r="AX18" s="31">
        <v>86.6</v>
      </c>
      <c r="AY18" s="32">
        <v>109.4</v>
      </c>
      <c r="AZ18" s="33">
        <v>3</v>
      </c>
      <c r="BA18" s="34">
        <v>0</v>
      </c>
      <c r="BB18" s="35">
        <v>115.4</v>
      </c>
    </row>
    <row r="19" spans="1:54" ht="23.25" x14ac:dyDescent="0.7">
      <c r="A19" s="21" t="s">
        <v>96</v>
      </c>
      <c r="B19" s="19" t="s">
        <v>3</v>
      </c>
      <c r="C19" s="15">
        <v>80.099999999999994</v>
      </c>
      <c r="D19" s="24">
        <v>97.2</v>
      </c>
      <c r="E19" s="4">
        <v>5</v>
      </c>
      <c r="F19" s="18">
        <v>0.1</v>
      </c>
      <c r="G19" s="15">
        <v>87.8</v>
      </c>
      <c r="H19" s="24">
        <v>97.2</v>
      </c>
      <c r="I19" s="4">
        <v>5</v>
      </c>
      <c r="J19" s="18">
        <v>0.2</v>
      </c>
      <c r="K19" s="15">
        <v>88.9</v>
      </c>
      <c r="L19" s="24">
        <v>91.4</v>
      </c>
      <c r="M19" s="4">
        <v>3</v>
      </c>
      <c r="N19" s="18">
        <v>0.01</v>
      </c>
      <c r="O19" s="15">
        <v>83.2</v>
      </c>
      <c r="P19" s="24">
        <v>91.4</v>
      </c>
      <c r="Q19" s="4">
        <v>4</v>
      </c>
      <c r="R19" s="18">
        <v>0.01</v>
      </c>
      <c r="U19" s="2">
        <v>15</v>
      </c>
      <c r="V19" s="1" t="s">
        <v>18</v>
      </c>
      <c r="W19" s="15">
        <v>81.7</v>
      </c>
      <c r="X19" s="16">
        <v>83.7</v>
      </c>
      <c r="Y19" s="4">
        <v>4</v>
      </c>
      <c r="Z19" s="3">
        <v>2.6</v>
      </c>
      <c r="AA19" s="17">
        <v>1.1000000000000001</v>
      </c>
      <c r="AB19" s="18">
        <v>38.4</v>
      </c>
      <c r="AC19" s="15">
        <v>81.7</v>
      </c>
      <c r="AD19" s="16">
        <v>83.7</v>
      </c>
      <c r="AE19" s="4">
        <v>4</v>
      </c>
      <c r="AF19" s="3">
        <v>2.6</v>
      </c>
      <c r="AG19" s="17">
        <v>1.1000000000000001</v>
      </c>
      <c r="AH19" s="18">
        <v>22.7</v>
      </c>
      <c r="AI19" s="15">
        <v>85.8</v>
      </c>
      <c r="AJ19" s="16">
        <v>102.3</v>
      </c>
      <c r="AK19" s="4">
        <v>5</v>
      </c>
      <c r="AL19" s="3">
        <v>5.8</v>
      </c>
      <c r="AM19" s="17">
        <v>1.1000000000000001</v>
      </c>
      <c r="AN19" s="18">
        <v>6.4</v>
      </c>
      <c r="AO19" s="15">
        <v>85.8</v>
      </c>
      <c r="AP19" s="16">
        <v>102.3</v>
      </c>
      <c r="AQ19" s="4">
        <v>5</v>
      </c>
      <c r="AR19" s="3">
        <v>5.8</v>
      </c>
      <c r="AS19" s="17">
        <v>1.1000000000000001</v>
      </c>
      <c r="AT19" s="18">
        <v>24.6</v>
      </c>
      <c r="AV19" s="2">
        <v>15</v>
      </c>
      <c r="AW19" s="1" t="s">
        <v>18</v>
      </c>
      <c r="AX19" s="31">
        <v>75.3</v>
      </c>
      <c r="AY19" s="32">
        <v>96.2</v>
      </c>
      <c r="AZ19" s="33">
        <v>5</v>
      </c>
      <c r="BA19" s="34">
        <v>1.1000000000000001</v>
      </c>
      <c r="BB19" s="35">
        <v>809.7</v>
      </c>
    </row>
    <row r="20" spans="1:54" ht="23.25" x14ac:dyDescent="0.7">
      <c r="A20" s="22" t="s">
        <v>92</v>
      </c>
      <c r="B20" s="20" t="s">
        <v>4</v>
      </c>
      <c r="C20" s="15">
        <v>96.3</v>
      </c>
      <c r="D20" s="24">
        <v>119</v>
      </c>
      <c r="E20" s="4">
        <v>3</v>
      </c>
      <c r="F20" s="18">
        <v>0.1</v>
      </c>
      <c r="G20" s="15">
        <v>99.3</v>
      </c>
      <c r="H20" s="24">
        <v>119</v>
      </c>
      <c r="I20" s="4">
        <v>2</v>
      </c>
      <c r="J20" s="18">
        <v>0.1</v>
      </c>
      <c r="K20" s="15">
        <v>99.8</v>
      </c>
      <c r="L20" s="24">
        <v>119</v>
      </c>
      <c r="M20" s="4">
        <v>3</v>
      </c>
      <c r="N20" s="18">
        <v>0.01</v>
      </c>
      <c r="O20" s="15">
        <v>107.8</v>
      </c>
      <c r="P20" s="24">
        <v>119</v>
      </c>
      <c r="Q20" s="4">
        <v>1</v>
      </c>
      <c r="R20" s="18">
        <v>0.01</v>
      </c>
      <c r="U20" s="2">
        <v>16</v>
      </c>
      <c r="V20" s="1" t="s">
        <v>19</v>
      </c>
      <c r="W20" s="15">
        <v>87.2</v>
      </c>
      <c r="X20" s="16">
        <v>100.4</v>
      </c>
      <c r="Y20" s="4">
        <v>2</v>
      </c>
      <c r="Z20" s="3">
        <v>0</v>
      </c>
      <c r="AA20" s="17">
        <v>0</v>
      </c>
      <c r="AB20" s="18">
        <v>29.7</v>
      </c>
      <c r="AC20" s="15">
        <v>85.2</v>
      </c>
      <c r="AD20" s="16">
        <v>100.4</v>
      </c>
      <c r="AE20" s="4">
        <v>3</v>
      </c>
      <c r="AF20" s="3">
        <v>0</v>
      </c>
      <c r="AG20" s="17">
        <v>0.4</v>
      </c>
      <c r="AH20" s="18">
        <v>1.6</v>
      </c>
      <c r="AI20" s="15">
        <v>94.8</v>
      </c>
      <c r="AJ20" s="16">
        <v>99.8</v>
      </c>
      <c r="AK20" s="4">
        <v>3</v>
      </c>
      <c r="AL20" s="3">
        <v>6.1</v>
      </c>
      <c r="AM20" s="17">
        <v>6.7</v>
      </c>
      <c r="AN20" s="18">
        <v>7.3</v>
      </c>
      <c r="AO20" s="15">
        <v>97.2</v>
      </c>
      <c r="AP20" s="16">
        <v>99.8</v>
      </c>
      <c r="AQ20" s="4">
        <v>2</v>
      </c>
      <c r="AR20" s="3">
        <v>17.2</v>
      </c>
      <c r="AS20" s="17">
        <v>0</v>
      </c>
      <c r="AT20" s="18">
        <v>23.4</v>
      </c>
      <c r="AV20" s="2">
        <v>16</v>
      </c>
      <c r="AW20" s="1" t="s">
        <v>19</v>
      </c>
      <c r="AX20" s="31">
        <v>84.8</v>
      </c>
      <c r="AY20" s="32">
        <v>100.4</v>
      </c>
      <c r="AZ20" s="33">
        <v>3</v>
      </c>
      <c r="BA20" s="34">
        <v>0</v>
      </c>
      <c r="BB20" s="35">
        <v>115.1</v>
      </c>
    </row>
    <row r="21" spans="1:54" ht="23.25" x14ac:dyDescent="0.7">
      <c r="A21" s="22" t="s">
        <v>93</v>
      </c>
      <c r="B21" s="20" t="s">
        <v>4</v>
      </c>
      <c r="C21" s="15">
        <v>97.3</v>
      </c>
      <c r="D21" s="24">
        <v>119</v>
      </c>
      <c r="E21" s="4">
        <v>3</v>
      </c>
      <c r="F21" s="18">
        <v>0.1</v>
      </c>
      <c r="G21" s="15">
        <v>100.9</v>
      </c>
      <c r="H21" s="24">
        <v>119</v>
      </c>
      <c r="I21" s="4">
        <v>2</v>
      </c>
      <c r="J21" s="18">
        <v>0.1</v>
      </c>
      <c r="K21" s="15">
        <v>101.6</v>
      </c>
      <c r="L21" s="24">
        <v>119</v>
      </c>
      <c r="M21" s="4">
        <v>2</v>
      </c>
      <c r="N21" s="18">
        <v>0.01</v>
      </c>
      <c r="O21" s="15">
        <v>106.8</v>
      </c>
      <c r="P21" s="24">
        <v>119</v>
      </c>
      <c r="Q21" s="4">
        <v>1</v>
      </c>
      <c r="R21" s="18">
        <v>0.01</v>
      </c>
      <c r="U21" s="2">
        <v>17</v>
      </c>
      <c r="V21" s="1" t="s">
        <v>20</v>
      </c>
      <c r="W21" s="15">
        <v>81.400000000000006</v>
      </c>
      <c r="X21" s="16">
        <v>93.2</v>
      </c>
      <c r="Y21" s="4">
        <v>3</v>
      </c>
      <c r="Z21" s="3">
        <v>1.4</v>
      </c>
      <c r="AA21" s="17">
        <v>1.1000000000000001</v>
      </c>
      <c r="AB21" s="18">
        <v>210.7</v>
      </c>
      <c r="AC21" s="15">
        <v>84.7</v>
      </c>
      <c r="AD21" s="16">
        <v>93.2</v>
      </c>
      <c r="AE21" s="4">
        <v>3</v>
      </c>
      <c r="AF21" s="3">
        <v>1.4</v>
      </c>
      <c r="AG21" s="17">
        <v>1.1000000000000001</v>
      </c>
      <c r="AH21" s="18">
        <v>173.4</v>
      </c>
      <c r="AI21" s="15">
        <v>83.2</v>
      </c>
      <c r="AJ21" s="16">
        <v>90.7</v>
      </c>
      <c r="AK21" s="4">
        <v>3</v>
      </c>
      <c r="AL21" s="3">
        <v>3.6</v>
      </c>
      <c r="AM21" s="17">
        <v>1.1000000000000001</v>
      </c>
      <c r="AN21" s="18">
        <v>49.6</v>
      </c>
      <c r="AO21" s="15">
        <v>90.7</v>
      </c>
      <c r="AP21" s="16">
        <v>90.7</v>
      </c>
      <c r="AQ21" s="4">
        <v>2</v>
      </c>
      <c r="AR21" s="3">
        <v>3.6</v>
      </c>
      <c r="AS21" s="17">
        <v>0</v>
      </c>
      <c r="AT21" s="18">
        <v>133.69999999999999</v>
      </c>
      <c r="AV21" s="2">
        <v>17</v>
      </c>
      <c r="AW21" s="1" t="s">
        <v>20</v>
      </c>
      <c r="AX21" s="31">
        <v>77.3</v>
      </c>
      <c r="AY21" s="32">
        <v>93</v>
      </c>
      <c r="AZ21" s="33">
        <v>4</v>
      </c>
      <c r="BA21" s="34">
        <v>1.1000000000000001</v>
      </c>
      <c r="BB21" s="35">
        <v>140.4</v>
      </c>
    </row>
    <row r="22" spans="1:54" ht="23.25" x14ac:dyDescent="0.7">
      <c r="A22" s="22" t="s">
        <v>94</v>
      </c>
      <c r="B22" s="20" t="s">
        <v>4</v>
      </c>
      <c r="C22" s="15">
        <v>95.9</v>
      </c>
      <c r="D22" s="24">
        <v>119</v>
      </c>
      <c r="E22" s="4">
        <v>3</v>
      </c>
      <c r="F22" s="18">
        <v>0.1</v>
      </c>
      <c r="G22" s="15">
        <v>102.6</v>
      </c>
      <c r="H22" s="24">
        <v>119</v>
      </c>
      <c r="I22" s="4">
        <v>2</v>
      </c>
      <c r="J22" s="18">
        <v>0.1</v>
      </c>
      <c r="K22" s="15">
        <v>102.8</v>
      </c>
      <c r="L22" s="24">
        <v>119</v>
      </c>
      <c r="M22" s="4">
        <v>2</v>
      </c>
      <c r="N22" s="18">
        <v>0.01</v>
      </c>
      <c r="O22" s="15">
        <v>105.5</v>
      </c>
      <c r="P22" s="24">
        <v>119</v>
      </c>
      <c r="Q22" s="4">
        <v>1</v>
      </c>
      <c r="R22" s="18">
        <v>0.01</v>
      </c>
      <c r="U22" s="2">
        <v>18</v>
      </c>
      <c r="V22" s="1" t="s">
        <v>21</v>
      </c>
      <c r="W22" s="15">
        <v>82.1</v>
      </c>
      <c r="X22" s="16">
        <v>99.7</v>
      </c>
      <c r="Y22" s="4">
        <v>4</v>
      </c>
      <c r="Z22" s="3">
        <v>4.5</v>
      </c>
      <c r="AA22" s="17">
        <v>1.8</v>
      </c>
      <c r="AB22" s="18">
        <v>31.3</v>
      </c>
      <c r="AC22" s="15">
        <v>85.1</v>
      </c>
      <c r="AD22" s="16">
        <v>99.7</v>
      </c>
      <c r="AE22" s="4">
        <v>4</v>
      </c>
      <c r="AF22" s="3">
        <v>4.5</v>
      </c>
      <c r="AG22" s="17">
        <v>4.8</v>
      </c>
      <c r="AH22" s="18">
        <v>39.5</v>
      </c>
      <c r="AI22" s="15">
        <v>75.7</v>
      </c>
      <c r="AJ22" s="16">
        <v>87.5</v>
      </c>
      <c r="AK22" s="4">
        <v>4</v>
      </c>
      <c r="AL22" s="3">
        <v>4.3</v>
      </c>
      <c r="AM22" s="17">
        <v>0.5</v>
      </c>
      <c r="AN22" s="18">
        <v>12.9</v>
      </c>
      <c r="AO22" s="15">
        <v>79.099999999999994</v>
      </c>
      <c r="AP22" s="16">
        <v>87.5</v>
      </c>
      <c r="AQ22" s="4">
        <v>3</v>
      </c>
      <c r="AR22" s="3">
        <v>4.3</v>
      </c>
      <c r="AS22" s="17">
        <v>0</v>
      </c>
      <c r="AT22" s="18">
        <v>27.3</v>
      </c>
      <c r="AV22" s="2">
        <v>18</v>
      </c>
      <c r="AW22" s="1" t="s">
        <v>21</v>
      </c>
      <c r="AX22" s="31">
        <v>70</v>
      </c>
      <c r="AY22" s="32">
        <v>108.8</v>
      </c>
      <c r="AZ22" s="33">
        <v>4</v>
      </c>
      <c r="BA22" s="34">
        <v>3.2</v>
      </c>
      <c r="BB22" s="35">
        <v>176.6</v>
      </c>
    </row>
    <row r="23" spans="1:54" ht="23.25" x14ac:dyDescent="0.7">
      <c r="A23" s="22" t="s">
        <v>95</v>
      </c>
      <c r="B23" s="20" t="s">
        <v>4</v>
      </c>
      <c r="C23" s="15">
        <v>97.7</v>
      </c>
      <c r="D23" s="24">
        <v>119</v>
      </c>
      <c r="E23" s="4">
        <v>3</v>
      </c>
      <c r="F23" s="18">
        <v>0.1</v>
      </c>
      <c r="G23" s="15">
        <v>100.5</v>
      </c>
      <c r="H23" s="24">
        <v>119</v>
      </c>
      <c r="I23" s="4">
        <v>2</v>
      </c>
      <c r="J23" s="18">
        <v>0.1</v>
      </c>
      <c r="K23" s="15">
        <v>100.8</v>
      </c>
      <c r="L23" s="24">
        <v>119</v>
      </c>
      <c r="M23" s="4">
        <v>2</v>
      </c>
      <c r="N23" s="18">
        <v>0.01</v>
      </c>
      <c r="O23" s="15">
        <v>103.9</v>
      </c>
      <c r="P23" s="24">
        <v>119</v>
      </c>
      <c r="Q23" s="4">
        <v>1</v>
      </c>
      <c r="R23" s="18">
        <v>0.01</v>
      </c>
      <c r="U23" s="2">
        <v>19</v>
      </c>
      <c r="V23" s="1" t="s">
        <v>22</v>
      </c>
      <c r="W23" s="15">
        <v>87.9</v>
      </c>
      <c r="X23" s="16">
        <v>92.1</v>
      </c>
      <c r="Y23" s="4">
        <v>4</v>
      </c>
      <c r="Z23" s="3">
        <v>2.9</v>
      </c>
      <c r="AA23" s="17">
        <v>0.8</v>
      </c>
      <c r="AB23" s="18">
        <v>16.399999999999999</v>
      </c>
      <c r="AC23" s="15">
        <v>87.9</v>
      </c>
      <c r="AD23" s="16">
        <v>92.1</v>
      </c>
      <c r="AE23" s="4">
        <v>4</v>
      </c>
      <c r="AF23" s="3">
        <v>2.9</v>
      </c>
      <c r="AG23" s="17">
        <v>0.8</v>
      </c>
      <c r="AH23" s="18">
        <v>12.9</v>
      </c>
      <c r="AI23" s="15">
        <v>91.1</v>
      </c>
      <c r="AJ23" s="16">
        <v>109.2</v>
      </c>
      <c r="AK23" s="4">
        <v>4</v>
      </c>
      <c r="AL23" s="3">
        <v>1.7</v>
      </c>
      <c r="AM23" s="17">
        <v>1.1000000000000001</v>
      </c>
      <c r="AN23" s="18">
        <v>9.5</v>
      </c>
      <c r="AO23" s="15">
        <v>94.7</v>
      </c>
      <c r="AP23" s="16">
        <v>109.2</v>
      </c>
      <c r="AQ23" s="4">
        <v>4</v>
      </c>
      <c r="AR23" s="3">
        <v>1.7</v>
      </c>
      <c r="AS23" s="17">
        <v>1</v>
      </c>
      <c r="AT23" s="18">
        <v>10</v>
      </c>
      <c r="AV23" s="2">
        <v>19</v>
      </c>
      <c r="AW23" s="1" t="s">
        <v>22</v>
      </c>
      <c r="AX23" s="31">
        <v>87.9</v>
      </c>
      <c r="AY23" s="32">
        <v>111</v>
      </c>
      <c r="AZ23" s="33">
        <v>4</v>
      </c>
      <c r="BA23" s="34">
        <v>0.8</v>
      </c>
      <c r="BB23" s="35">
        <v>149.30000000000001</v>
      </c>
    </row>
    <row r="24" spans="1:54" ht="23.25" x14ac:dyDescent="0.7">
      <c r="A24" s="22" t="s">
        <v>96</v>
      </c>
      <c r="B24" s="20" t="s">
        <v>4</v>
      </c>
      <c r="C24" s="15">
        <v>96.8</v>
      </c>
      <c r="D24" s="24">
        <v>119</v>
      </c>
      <c r="E24" s="4">
        <v>3</v>
      </c>
      <c r="F24" s="18">
        <v>0.1</v>
      </c>
      <c r="G24" s="15">
        <v>101.2</v>
      </c>
      <c r="H24" s="24">
        <v>119</v>
      </c>
      <c r="I24" s="4">
        <v>2</v>
      </c>
      <c r="J24" s="18">
        <v>0.1</v>
      </c>
      <c r="K24" s="15">
        <v>100.4</v>
      </c>
      <c r="L24" s="24">
        <v>119</v>
      </c>
      <c r="M24" s="4">
        <v>2</v>
      </c>
      <c r="N24" s="18">
        <v>0.01</v>
      </c>
      <c r="O24" s="15">
        <v>106</v>
      </c>
      <c r="P24" s="24">
        <v>119</v>
      </c>
      <c r="Q24" s="4">
        <v>1</v>
      </c>
      <c r="R24" s="18">
        <v>0.01</v>
      </c>
      <c r="U24" s="2">
        <v>20</v>
      </c>
      <c r="V24" s="1" t="s">
        <v>23</v>
      </c>
      <c r="W24" s="15">
        <v>100.9</v>
      </c>
      <c r="X24" s="16">
        <v>111.6</v>
      </c>
      <c r="Y24" s="4">
        <v>4</v>
      </c>
      <c r="Z24" s="3">
        <v>1.3</v>
      </c>
      <c r="AA24" s="17">
        <v>0.6</v>
      </c>
      <c r="AB24" s="18">
        <v>100.4</v>
      </c>
      <c r="AC24" s="15">
        <v>101.2</v>
      </c>
      <c r="AD24" s="16">
        <v>111.6</v>
      </c>
      <c r="AE24" s="4">
        <v>3</v>
      </c>
      <c r="AF24" s="3">
        <v>1.3</v>
      </c>
      <c r="AG24" s="17">
        <v>6</v>
      </c>
      <c r="AH24" s="18">
        <v>29.9</v>
      </c>
      <c r="AI24" s="15">
        <v>103.3</v>
      </c>
      <c r="AJ24" s="16">
        <v>108.3</v>
      </c>
      <c r="AK24" s="4">
        <v>4</v>
      </c>
      <c r="AL24" s="3">
        <v>9</v>
      </c>
      <c r="AM24" s="17">
        <v>0</v>
      </c>
      <c r="AN24" s="18">
        <v>38.299999999999997</v>
      </c>
      <c r="AO24" s="15">
        <v>104.8</v>
      </c>
      <c r="AP24" s="16">
        <v>108.3</v>
      </c>
      <c r="AQ24" s="4">
        <v>4</v>
      </c>
      <c r="AR24" s="3">
        <v>9</v>
      </c>
      <c r="AS24" s="17">
        <v>1.5</v>
      </c>
      <c r="AT24" s="18">
        <v>18.899999999999999</v>
      </c>
      <c r="AV24" s="2">
        <v>20</v>
      </c>
      <c r="AW24" s="1" t="s">
        <v>23</v>
      </c>
      <c r="AX24" s="31">
        <v>90.8</v>
      </c>
      <c r="AY24" s="32">
        <v>104.1</v>
      </c>
      <c r="AZ24" s="33">
        <v>4</v>
      </c>
      <c r="BA24" s="34">
        <v>0</v>
      </c>
      <c r="BB24" s="35">
        <v>96.7</v>
      </c>
    </row>
    <row r="25" spans="1:54" ht="23.25" x14ac:dyDescent="0.7">
      <c r="A25" s="21" t="s">
        <v>92</v>
      </c>
      <c r="B25" s="7" t="s">
        <v>5</v>
      </c>
      <c r="C25" s="15">
        <v>76.400000000000006</v>
      </c>
      <c r="D25" s="24">
        <v>88.9</v>
      </c>
      <c r="E25" s="4">
        <v>4</v>
      </c>
      <c r="F25" s="18">
        <v>0.02</v>
      </c>
      <c r="G25" s="15">
        <v>79.599999999999994</v>
      </c>
      <c r="H25" s="24">
        <v>88.9</v>
      </c>
      <c r="I25" s="4">
        <v>3</v>
      </c>
      <c r="J25" s="18">
        <v>0.1</v>
      </c>
      <c r="K25" s="15">
        <v>80.599999999999994</v>
      </c>
      <c r="L25" s="24">
        <v>87.1</v>
      </c>
      <c r="M25" s="4">
        <v>4</v>
      </c>
      <c r="N25" s="18">
        <v>0.02</v>
      </c>
      <c r="O25" s="15">
        <v>84.3</v>
      </c>
      <c r="P25" s="24">
        <v>87.1</v>
      </c>
      <c r="Q25" s="4">
        <v>3</v>
      </c>
      <c r="R25" s="18">
        <v>0.02</v>
      </c>
      <c r="AW25" s="37" t="s">
        <v>124</v>
      </c>
      <c r="AX25" s="39">
        <f>AVERAGE(AX5:AX24)</f>
        <v>79.585000000000008</v>
      </c>
    </row>
    <row r="26" spans="1:54" ht="23.25" x14ac:dyDescent="0.7">
      <c r="A26" s="21" t="s">
        <v>93</v>
      </c>
      <c r="B26" s="7" t="s">
        <v>5</v>
      </c>
      <c r="C26" s="15">
        <v>70.400000000000006</v>
      </c>
      <c r="D26" s="24">
        <v>88.9</v>
      </c>
      <c r="E26" s="4">
        <v>4</v>
      </c>
      <c r="F26" s="18">
        <v>0.02</v>
      </c>
      <c r="G26" s="15">
        <v>75.5</v>
      </c>
      <c r="H26" s="24">
        <v>88.9</v>
      </c>
      <c r="I26" s="4">
        <v>3</v>
      </c>
      <c r="J26" s="18">
        <v>0.01</v>
      </c>
      <c r="K26" s="15">
        <v>76.400000000000006</v>
      </c>
      <c r="L26" s="24">
        <v>87.1</v>
      </c>
      <c r="M26" s="4">
        <v>4</v>
      </c>
      <c r="N26" s="18">
        <v>0.02</v>
      </c>
      <c r="O26" s="15">
        <v>79.3</v>
      </c>
      <c r="P26" s="24">
        <v>87.1</v>
      </c>
      <c r="Q26" s="4">
        <v>3</v>
      </c>
      <c r="R26" s="18">
        <v>0.02</v>
      </c>
      <c r="V26" s="6" t="s">
        <v>119</v>
      </c>
      <c r="W26" s="36">
        <f>AVERAGE(W5:W24)</f>
        <v>85.784999999999997</v>
      </c>
      <c r="X26" s="36">
        <f>AVERAGE(X5:X24)</f>
        <v>97.93</v>
      </c>
      <c r="Y26" s="36"/>
      <c r="Z26" s="36"/>
      <c r="AA26" s="36"/>
      <c r="AB26" s="36"/>
      <c r="AC26" s="36">
        <f>AVERAGE(AC5:AC24)</f>
        <v>88.34</v>
      </c>
      <c r="AD26" s="36">
        <f>AVERAGE(AD5:AD24)</f>
        <v>97.93</v>
      </c>
      <c r="AE26" s="36"/>
      <c r="AF26" s="36"/>
      <c r="AG26" s="36"/>
      <c r="AH26" s="36"/>
      <c r="AI26" s="36">
        <f>AVERAGE(AI5:AI24)</f>
        <v>87.025000000000006</v>
      </c>
      <c r="AJ26" s="36">
        <f>AVERAGE(AJ5:AJ24)</f>
        <v>97.029999999999987</v>
      </c>
      <c r="AK26" s="36"/>
      <c r="AL26" s="36"/>
      <c r="AM26" s="36"/>
      <c r="AN26" s="36"/>
      <c r="AO26" s="36">
        <f>AVERAGE(AO5:AO24)</f>
        <v>88.580000000000013</v>
      </c>
      <c r="AP26" s="36">
        <f>AVERAGE(AP5:AP24)</f>
        <v>97.009999999999991</v>
      </c>
    </row>
    <row r="27" spans="1:54" ht="23.25" x14ac:dyDescent="0.7">
      <c r="A27" s="21" t="s">
        <v>94</v>
      </c>
      <c r="B27" s="7" t="s">
        <v>5</v>
      </c>
      <c r="C27" s="15">
        <v>71.3</v>
      </c>
      <c r="D27" s="24">
        <v>88.9</v>
      </c>
      <c r="E27" s="4">
        <v>4</v>
      </c>
      <c r="F27" s="18">
        <v>0.02</v>
      </c>
      <c r="G27" s="15">
        <v>75.599999999999994</v>
      </c>
      <c r="H27" s="24">
        <v>88.9</v>
      </c>
      <c r="I27" s="4">
        <v>3</v>
      </c>
      <c r="J27" s="18">
        <v>0.01</v>
      </c>
      <c r="K27" s="15">
        <v>76.099999999999994</v>
      </c>
      <c r="L27" s="24">
        <v>87.1</v>
      </c>
      <c r="M27" s="4">
        <v>4</v>
      </c>
      <c r="N27" s="18">
        <v>0.02</v>
      </c>
      <c r="O27" s="15">
        <v>77.8</v>
      </c>
      <c r="P27" s="24">
        <v>87.1</v>
      </c>
      <c r="Q27" s="4">
        <v>3</v>
      </c>
      <c r="R27" s="18">
        <v>0.02</v>
      </c>
    </row>
    <row r="28" spans="1:54" ht="23.25" x14ac:dyDescent="0.7">
      <c r="A28" s="21" t="s">
        <v>95</v>
      </c>
      <c r="B28" s="7" t="s">
        <v>5</v>
      </c>
      <c r="C28" s="15">
        <v>72.5</v>
      </c>
      <c r="D28" s="24">
        <v>88.9</v>
      </c>
      <c r="E28" s="4">
        <v>4</v>
      </c>
      <c r="F28" s="18">
        <v>0.02</v>
      </c>
      <c r="G28" s="15">
        <v>73.599999999999994</v>
      </c>
      <c r="H28" s="24">
        <v>88.9</v>
      </c>
      <c r="I28" s="4">
        <v>3</v>
      </c>
      <c r="J28" s="18">
        <v>0.03</v>
      </c>
      <c r="K28" s="15">
        <v>74.900000000000006</v>
      </c>
      <c r="L28" s="24">
        <v>87.1</v>
      </c>
      <c r="M28" s="4">
        <v>4</v>
      </c>
      <c r="N28" s="18">
        <v>0.02</v>
      </c>
      <c r="O28" s="15">
        <v>79.8</v>
      </c>
      <c r="P28" s="24">
        <v>87.1</v>
      </c>
      <c r="Q28" s="4">
        <v>3</v>
      </c>
      <c r="R28" s="18">
        <v>0.02</v>
      </c>
      <c r="V28" s="43" t="s">
        <v>123</v>
      </c>
      <c r="W28" s="39">
        <f>AVERAGE(W26,AC26,AI26,AO26)</f>
        <v>87.432500000000005</v>
      </c>
      <c r="AM28">
        <f>86-79</f>
        <v>7</v>
      </c>
    </row>
    <row r="29" spans="1:54" ht="23.25" x14ac:dyDescent="0.7">
      <c r="A29" s="21" t="s">
        <v>96</v>
      </c>
      <c r="B29" s="7" t="s">
        <v>5</v>
      </c>
      <c r="C29" s="15">
        <v>76.8</v>
      </c>
      <c r="D29" s="24">
        <v>93.9</v>
      </c>
      <c r="E29" s="4">
        <v>3</v>
      </c>
      <c r="F29" s="18">
        <v>0.01</v>
      </c>
      <c r="G29" s="15">
        <v>77.3</v>
      </c>
      <c r="H29" s="24">
        <v>93.9</v>
      </c>
      <c r="I29" s="4">
        <v>4</v>
      </c>
      <c r="J29" s="18">
        <v>0.03</v>
      </c>
      <c r="K29" s="15">
        <v>77.400000000000006</v>
      </c>
      <c r="L29" s="24">
        <v>89.5</v>
      </c>
      <c r="M29" s="4">
        <v>4</v>
      </c>
      <c r="N29" s="18">
        <v>0.01</v>
      </c>
      <c r="O29" s="15">
        <v>77.5</v>
      </c>
      <c r="P29" s="24">
        <v>89.5</v>
      </c>
      <c r="Q29" s="4">
        <v>3</v>
      </c>
      <c r="R29" s="18">
        <v>0.01</v>
      </c>
      <c r="V29" s="40" t="s">
        <v>120</v>
      </c>
      <c r="W29" s="39">
        <f>(W28-AX25)/AX25</f>
        <v>9.8605264811208085E-2</v>
      </c>
      <c r="X29" s="45">
        <f>W29</f>
        <v>9.8605264811208085E-2</v>
      </c>
    </row>
    <row r="30" spans="1:54" ht="23.25" x14ac:dyDescent="0.7">
      <c r="A30" s="21" t="s">
        <v>92</v>
      </c>
      <c r="B30" s="1" t="s">
        <v>6</v>
      </c>
      <c r="C30" s="15">
        <v>72.599999999999994</v>
      </c>
      <c r="D30" s="24">
        <v>76.3</v>
      </c>
      <c r="E30" s="4">
        <v>1</v>
      </c>
      <c r="F30" s="18">
        <v>0.01</v>
      </c>
      <c r="G30" s="15">
        <v>75.8</v>
      </c>
      <c r="H30" s="24">
        <v>76.3</v>
      </c>
      <c r="I30" s="4">
        <v>0</v>
      </c>
      <c r="J30" s="18">
        <v>0.01</v>
      </c>
      <c r="K30" s="15">
        <v>75.3</v>
      </c>
      <c r="L30" s="24">
        <v>75.3</v>
      </c>
      <c r="M30" s="4">
        <v>1</v>
      </c>
      <c r="N30" s="18">
        <v>0.01</v>
      </c>
      <c r="O30" s="15">
        <v>72.599999999999994</v>
      </c>
      <c r="P30" s="24">
        <v>75.3</v>
      </c>
      <c r="Q30" s="4">
        <v>2</v>
      </c>
      <c r="R30" s="18">
        <v>0.01</v>
      </c>
    </row>
    <row r="31" spans="1:54" ht="23.25" x14ac:dyDescent="0.7">
      <c r="A31" s="21" t="s">
        <v>93</v>
      </c>
      <c r="B31" s="1" t="s">
        <v>6</v>
      </c>
      <c r="C31" s="15">
        <v>74.7</v>
      </c>
      <c r="D31" s="24">
        <v>76.3</v>
      </c>
      <c r="E31" s="4">
        <v>1</v>
      </c>
      <c r="F31" s="18">
        <v>0.01</v>
      </c>
      <c r="G31" s="15">
        <v>77.099999999999994</v>
      </c>
      <c r="H31" s="24">
        <v>76.3</v>
      </c>
      <c r="I31" s="4">
        <v>0</v>
      </c>
      <c r="J31" s="18">
        <v>0.01</v>
      </c>
      <c r="K31" s="15">
        <v>75.5</v>
      </c>
      <c r="L31" s="24">
        <v>75.3</v>
      </c>
      <c r="M31" s="4">
        <v>1</v>
      </c>
      <c r="N31" s="18">
        <v>0.01</v>
      </c>
      <c r="O31" s="15">
        <v>73.7</v>
      </c>
      <c r="P31" s="24">
        <v>75.3</v>
      </c>
      <c r="Q31" s="4">
        <v>2</v>
      </c>
      <c r="R31" s="18">
        <v>0.01</v>
      </c>
      <c r="V31" s="42" t="s">
        <v>24</v>
      </c>
      <c r="W31" s="42"/>
    </row>
    <row r="32" spans="1:54" ht="23.25" x14ac:dyDescent="0.7">
      <c r="A32" s="21" t="s">
        <v>94</v>
      </c>
      <c r="B32" s="1" t="s">
        <v>6</v>
      </c>
      <c r="C32" s="15">
        <v>76.599999999999994</v>
      </c>
      <c r="D32" s="24">
        <v>81.2</v>
      </c>
      <c r="E32" s="4">
        <v>2</v>
      </c>
      <c r="F32" s="18">
        <v>0.02</v>
      </c>
      <c r="G32" s="15">
        <v>78.400000000000006</v>
      </c>
      <c r="H32" s="24">
        <v>81.2</v>
      </c>
      <c r="I32" s="4">
        <v>3</v>
      </c>
      <c r="J32" s="18">
        <v>0.01</v>
      </c>
      <c r="K32" s="15">
        <v>75.8</v>
      </c>
      <c r="L32" s="24">
        <v>78.599999999999994</v>
      </c>
      <c r="M32" s="4">
        <v>3</v>
      </c>
      <c r="N32" s="18">
        <v>0.01</v>
      </c>
      <c r="O32" s="15">
        <v>73.099999999999994</v>
      </c>
      <c r="P32" s="24">
        <v>78.599999999999994</v>
      </c>
      <c r="Q32" s="4">
        <v>3</v>
      </c>
      <c r="R32" s="18">
        <v>0.01</v>
      </c>
      <c r="V32" s="2" t="s">
        <v>122</v>
      </c>
      <c r="W32" s="2">
        <f>AVERAGE(X26,AD26,AJ26,AP26)</f>
        <v>97.474999999999994</v>
      </c>
    </row>
    <row r="33" spans="1:24" ht="23.25" x14ac:dyDescent="0.7">
      <c r="A33" s="21" t="s">
        <v>95</v>
      </c>
      <c r="B33" s="1" t="s">
        <v>6</v>
      </c>
      <c r="C33" s="15">
        <v>73.599999999999994</v>
      </c>
      <c r="D33" s="24">
        <v>76.3</v>
      </c>
      <c r="E33" s="4">
        <v>1</v>
      </c>
      <c r="F33" s="18">
        <v>0.01</v>
      </c>
      <c r="G33" s="15">
        <v>73.599999999999994</v>
      </c>
      <c r="H33" s="24">
        <v>76.3</v>
      </c>
      <c r="I33" s="4">
        <v>1</v>
      </c>
      <c r="J33" s="18">
        <v>0.01</v>
      </c>
      <c r="K33" s="15">
        <v>74.400000000000006</v>
      </c>
      <c r="L33" s="24">
        <v>75.3</v>
      </c>
      <c r="M33" s="4">
        <v>1</v>
      </c>
      <c r="N33" s="18">
        <v>0.01</v>
      </c>
      <c r="O33" s="15">
        <v>71.599999999999994</v>
      </c>
      <c r="P33" s="24">
        <v>75.3</v>
      </c>
      <c r="Q33" s="4">
        <v>2</v>
      </c>
      <c r="R33" s="18">
        <v>0.01</v>
      </c>
      <c r="V33" s="44" t="s">
        <v>127</v>
      </c>
      <c r="W33" s="2">
        <f>(W32-AX25)/AX25</f>
        <v>0.22479110385122805</v>
      </c>
      <c r="X33" s="45">
        <f>W33</f>
        <v>0.22479110385122805</v>
      </c>
    </row>
    <row r="34" spans="1:24" ht="23.25" x14ac:dyDescent="0.7">
      <c r="A34" s="21" t="s">
        <v>96</v>
      </c>
      <c r="B34" s="1" t="s">
        <v>6</v>
      </c>
      <c r="C34" s="15">
        <v>75.2</v>
      </c>
      <c r="D34" s="24">
        <v>77.900000000000006</v>
      </c>
      <c r="E34" s="4">
        <v>2</v>
      </c>
      <c r="F34" s="18">
        <v>0.02</v>
      </c>
      <c r="G34" s="15">
        <v>77.900000000000006</v>
      </c>
      <c r="H34" s="24">
        <v>77.900000000000006</v>
      </c>
      <c r="I34" s="4">
        <v>1</v>
      </c>
      <c r="J34" s="18">
        <v>0.01</v>
      </c>
      <c r="K34" s="15">
        <v>76.3</v>
      </c>
      <c r="L34" s="24">
        <v>76.099999999999994</v>
      </c>
      <c r="M34" s="4">
        <v>2</v>
      </c>
      <c r="N34" s="18">
        <v>0.02</v>
      </c>
      <c r="O34" s="15">
        <v>73.5</v>
      </c>
      <c r="P34" s="24">
        <v>76.099999999999994</v>
      </c>
      <c r="Q34" s="4">
        <v>3</v>
      </c>
      <c r="R34" s="18">
        <v>0.01</v>
      </c>
    </row>
    <row r="35" spans="1:24" ht="23.25" x14ac:dyDescent="0.7">
      <c r="A35" s="22" t="s">
        <v>92</v>
      </c>
      <c r="B35" s="5" t="s">
        <v>7</v>
      </c>
      <c r="C35" s="15">
        <v>82.7</v>
      </c>
      <c r="D35" s="24">
        <v>101.7</v>
      </c>
      <c r="E35" s="4">
        <v>4</v>
      </c>
      <c r="F35" s="18">
        <v>0.02</v>
      </c>
      <c r="G35" s="15">
        <v>98.1</v>
      </c>
      <c r="H35" s="24">
        <v>101.7</v>
      </c>
      <c r="I35" s="4">
        <v>2</v>
      </c>
      <c r="J35" s="18">
        <v>0.04</v>
      </c>
      <c r="K35" s="15">
        <v>97.5</v>
      </c>
      <c r="L35" s="24">
        <v>105.4</v>
      </c>
      <c r="M35" s="4">
        <v>3</v>
      </c>
      <c r="N35" s="18">
        <v>0.02</v>
      </c>
      <c r="O35" s="15">
        <v>99.2</v>
      </c>
      <c r="P35" s="24">
        <v>105</v>
      </c>
      <c r="Q35" s="4">
        <v>2</v>
      </c>
      <c r="R35" s="18">
        <v>0.02</v>
      </c>
      <c r="V35" s="2" t="s">
        <v>24</v>
      </c>
      <c r="W35" s="2"/>
    </row>
    <row r="36" spans="1:24" ht="23.25" x14ac:dyDescent="0.7">
      <c r="A36" s="22" t="s">
        <v>93</v>
      </c>
      <c r="B36" s="5" t="s">
        <v>7</v>
      </c>
      <c r="C36" s="15">
        <v>99.7</v>
      </c>
      <c r="D36" s="24">
        <v>111</v>
      </c>
      <c r="E36" s="4">
        <v>3</v>
      </c>
      <c r="F36" s="18">
        <v>0.05</v>
      </c>
      <c r="G36" s="15">
        <v>103.1</v>
      </c>
      <c r="H36" s="24">
        <v>111</v>
      </c>
      <c r="I36" s="4">
        <v>3</v>
      </c>
      <c r="J36" s="18">
        <v>0.02</v>
      </c>
      <c r="K36" s="15">
        <v>94.2</v>
      </c>
      <c r="L36" s="24">
        <v>106.8</v>
      </c>
      <c r="M36" s="4">
        <v>2</v>
      </c>
      <c r="N36" s="18">
        <v>0.02</v>
      </c>
      <c r="O36" s="15">
        <v>94.2</v>
      </c>
      <c r="P36" s="24">
        <v>106.8</v>
      </c>
      <c r="Q36" s="4">
        <v>2</v>
      </c>
      <c r="R36" s="18">
        <v>0.01</v>
      </c>
      <c r="V36" s="2" t="s">
        <v>128</v>
      </c>
      <c r="W36" s="2">
        <f>W28</f>
        <v>87.432500000000005</v>
      </c>
    </row>
    <row r="37" spans="1:24" ht="23.25" x14ac:dyDescent="0.7">
      <c r="A37" s="22" t="s">
        <v>94</v>
      </c>
      <c r="B37" s="5" t="s">
        <v>7</v>
      </c>
      <c r="C37" s="15">
        <v>87.8</v>
      </c>
      <c r="D37" s="24">
        <v>109.6</v>
      </c>
      <c r="E37" s="4">
        <v>4</v>
      </c>
      <c r="F37" s="18">
        <v>0.02</v>
      </c>
      <c r="G37" s="15">
        <v>97.4</v>
      </c>
      <c r="H37" s="24">
        <v>109.6</v>
      </c>
      <c r="I37" s="4">
        <v>4</v>
      </c>
      <c r="J37" s="18">
        <v>0.03</v>
      </c>
      <c r="K37" s="15">
        <v>82.9</v>
      </c>
      <c r="L37" s="24">
        <v>104.7</v>
      </c>
      <c r="M37" s="4">
        <v>4</v>
      </c>
      <c r="N37" s="18">
        <v>0.01</v>
      </c>
      <c r="O37" s="15">
        <v>92.9</v>
      </c>
      <c r="P37" s="24">
        <v>104.7</v>
      </c>
      <c r="Q37" s="4">
        <v>2</v>
      </c>
      <c r="R37" s="18">
        <v>0.02</v>
      </c>
      <c r="V37" s="2" t="s">
        <v>129</v>
      </c>
      <c r="W37" s="2">
        <f>W32</f>
        <v>97.474999999999994</v>
      </c>
    </row>
    <row r="38" spans="1:24" ht="23.25" x14ac:dyDescent="0.7">
      <c r="A38" s="22" t="s">
        <v>95</v>
      </c>
      <c r="B38" s="5" t="s">
        <v>7</v>
      </c>
      <c r="C38" s="15">
        <v>82.7</v>
      </c>
      <c r="D38" s="24">
        <v>101.7</v>
      </c>
      <c r="E38" s="4">
        <v>4</v>
      </c>
      <c r="F38" s="18">
        <v>0.04</v>
      </c>
      <c r="G38" s="15">
        <v>87.4</v>
      </c>
      <c r="H38" s="24">
        <v>101.7</v>
      </c>
      <c r="I38" s="4">
        <v>3</v>
      </c>
      <c r="J38" s="18">
        <v>0.05</v>
      </c>
      <c r="K38" s="15">
        <v>97.5</v>
      </c>
      <c r="L38" s="24">
        <v>105.4</v>
      </c>
      <c r="M38" s="4">
        <v>3</v>
      </c>
      <c r="N38" s="18">
        <v>0.01</v>
      </c>
      <c r="O38" s="15">
        <v>101</v>
      </c>
      <c r="P38" s="24">
        <v>105</v>
      </c>
      <c r="Q38" s="4">
        <v>2</v>
      </c>
      <c r="R38" s="18">
        <v>0.04</v>
      </c>
      <c r="V38" s="44" t="s">
        <v>130</v>
      </c>
      <c r="W38" s="2">
        <f>(W37-W36)/W36</f>
        <v>0.11486003488405329</v>
      </c>
      <c r="X38" s="45">
        <f>W38</f>
        <v>0.11486003488405329</v>
      </c>
    </row>
    <row r="39" spans="1:24" ht="23.25" x14ac:dyDescent="0.7">
      <c r="A39" s="22" t="s">
        <v>96</v>
      </c>
      <c r="B39" s="5" t="s">
        <v>7</v>
      </c>
      <c r="C39" s="15">
        <v>84.9</v>
      </c>
      <c r="D39" s="24">
        <v>101.7</v>
      </c>
      <c r="E39" s="4">
        <v>3</v>
      </c>
      <c r="F39" s="18">
        <v>0.05</v>
      </c>
      <c r="G39" s="15">
        <v>99.3</v>
      </c>
      <c r="H39" s="24">
        <v>101.7</v>
      </c>
      <c r="I39" s="4">
        <v>2</v>
      </c>
      <c r="J39" s="18">
        <v>0.02</v>
      </c>
      <c r="K39" s="15">
        <v>97.5</v>
      </c>
      <c r="L39" s="24">
        <v>105.4</v>
      </c>
      <c r="M39" s="4">
        <v>3</v>
      </c>
      <c r="N39" s="18">
        <v>0.01</v>
      </c>
      <c r="O39" s="15">
        <v>102.3</v>
      </c>
      <c r="P39" s="24">
        <v>105</v>
      </c>
      <c r="Q39" s="4">
        <v>2</v>
      </c>
      <c r="R39" s="18">
        <v>0.02</v>
      </c>
    </row>
    <row r="40" spans="1:24" ht="23.25" x14ac:dyDescent="0.7">
      <c r="A40" s="21" t="s">
        <v>92</v>
      </c>
      <c r="B40" s="19" t="s">
        <v>8</v>
      </c>
      <c r="C40" s="15">
        <v>90.7</v>
      </c>
      <c r="D40" s="24">
        <v>109.5</v>
      </c>
      <c r="E40" s="4">
        <v>2</v>
      </c>
      <c r="F40" s="18">
        <v>0.01</v>
      </c>
      <c r="G40" s="15">
        <v>93.8</v>
      </c>
      <c r="H40" s="24">
        <v>109.5</v>
      </c>
      <c r="I40" s="4">
        <v>2</v>
      </c>
      <c r="J40" s="18">
        <v>0.03</v>
      </c>
      <c r="K40" s="15">
        <v>94.1</v>
      </c>
      <c r="L40" s="24">
        <v>109.5</v>
      </c>
      <c r="M40" s="4">
        <v>2</v>
      </c>
      <c r="N40" s="18">
        <v>0.02</v>
      </c>
      <c r="O40" s="15">
        <v>94.7</v>
      </c>
      <c r="P40" s="24">
        <v>109.5</v>
      </c>
      <c r="Q40" s="4">
        <v>2</v>
      </c>
      <c r="R40" s="18">
        <v>0.02</v>
      </c>
    </row>
    <row r="41" spans="1:24" ht="23.25" x14ac:dyDescent="0.7">
      <c r="A41" s="21" t="s">
        <v>93</v>
      </c>
      <c r="B41" s="19" t="s">
        <v>8</v>
      </c>
      <c r="C41" s="15">
        <v>90.8</v>
      </c>
      <c r="D41" s="24">
        <v>96</v>
      </c>
      <c r="E41" s="4">
        <v>2</v>
      </c>
      <c r="F41" s="18">
        <v>0.01</v>
      </c>
      <c r="G41" s="15">
        <v>95.2</v>
      </c>
      <c r="H41" s="24">
        <v>96</v>
      </c>
      <c r="I41" s="4">
        <v>1</v>
      </c>
      <c r="J41" s="18">
        <v>0.01</v>
      </c>
      <c r="K41" s="15">
        <v>98.1</v>
      </c>
      <c r="L41" s="24">
        <v>96</v>
      </c>
      <c r="M41" s="4">
        <v>2</v>
      </c>
      <c r="N41" s="18">
        <v>0.01</v>
      </c>
      <c r="O41" s="15">
        <v>98.3</v>
      </c>
      <c r="P41" s="24">
        <v>96</v>
      </c>
      <c r="Q41" s="4">
        <v>2</v>
      </c>
      <c r="R41" s="18">
        <v>0.01</v>
      </c>
    </row>
    <row r="42" spans="1:24" ht="23.25" x14ac:dyDescent="0.7">
      <c r="A42" s="21" t="s">
        <v>94</v>
      </c>
      <c r="B42" s="19" t="s">
        <v>8</v>
      </c>
      <c r="C42" s="15">
        <v>90.9</v>
      </c>
      <c r="D42" s="24">
        <v>102.9</v>
      </c>
      <c r="E42" s="4">
        <v>2</v>
      </c>
      <c r="F42" s="18">
        <v>0.02</v>
      </c>
      <c r="G42" s="15">
        <v>94.8</v>
      </c>
      <c r="H42" s="24">
        <v>102.9</v>
      </c>
      <c r="I42" s="4">
        <v>2</v>
      </c>
      <c r="J42" s="18">
        <v>0.03</v>
      </c>
      <c r="K42" s="15">
        <v>95.6</v>
      </c>
      <c r="L42" s="24">
        <v>102.9</v>
      </c>
      <c r="M42" s="4">
        <v>2</v>
      </c>
      <c r="N42" s="18">
        <v>0.1</v>
      </c>
      <c r="O42" s="15">
        <v>96.3</v>
      </c>
      <c r="P42" s="24">
        <v>102.9</v>
      </c>
      <c r="Q42" s="4">
        <v>2</v>
      </c>
      <c r="R42" s="18">
        <v>0.01</v>
      </c>
    </row>
    <row r="43" spans="1:24" ht="23.25" x14ac:dyDescent="0.7">
      <c r="A43" s="21" t="s">
        <v>95</v>
      </c>
      <c r="B43" s="19" t="s">
        <v>8</v>
      </c>
      <c r="C43" s="15">
        <v>89.2</v>
      </c>
      <c r="D43" s="24">
        <v>98.4</v>
      </c>
      <c r="E43" s="4">
        <v>2</v>
      </c>
      <c r="F43" s="18">
        <v>0.01</v>
      </c>
      <c r="G43" s="15">
        <v>96.8</v>
      </c>
      <c r="H43" s="24">
        <v>98.4</v>
      </c>
      <c r="I43" s="4">
        <v>1</v>
      </c>
      <c r="J43" s="18">
        <v>0.01</v>
      </c>
      <c r="K43" s="15">
        <v>94.8</v>
      </c>
      <c r="L43" s="24">
        <v>99.2</v>
      </c>
      <c r="M43" s="4">
        <v>2</v>
      </c>
      <c r="N43" s="18">
        <v>0.01</v>
      </c>
      <c r="O43" s="15">
        <v>93.6</v>
      </c>
      <c r="P43" s="24">
        <v>96</v>
      </c>
      <c r="Q43" s="4">
        <v>2</v>
      </c>
      <c r="R43" s="18">
        <v>0.01</v>
      </c>
    </row>
    <row r="44" spans="1:24" ht="23.25" x14ac:dyDescent="0.7">
      <c r="A44" s="21" t="s">
        <v>96</v>
      </c>
      <c r="B44" s="19" t="s">
        <v>8</v>
      </c>
      <c r="C44" s="15">
        <v>92.5</v>
      </c>
      <c r="D44" s="24">
        <v>102.9</v>
      </c>
      <c r="E44" s="4">
        <v>2</v>
      </c>
      <c r="F44" s="18">
        <v>0.02</v>
      </c>
      <c r="G44" s="15">
        <v>97.7</v>
      </c>
      <c r="H44" s="24">
        <v>102.9</v>
      </c>
      <c r="I44" s="4">
        <v>1</v>
      </c>
      <c r="J44" s="18">
        <v>0.02</v>
      </c>
      <c r="K44" s="15">
        <v>97.4</v>
      </c>
      <c r="L44" s="24">
        <v>102.9</v>
      </c>
      <c r="M44" s="4">
        <v>2</v>
      </c>
      <c r="N44" s="18">
        <v>0.03</v>
      </c>
      <c r="O44" s="15">
        <v>92.9</v>
      </c>
      <c r="P44" s="24">
        <v>102.9</v>
      </c>
      <c r="Q44" s="4">
        <v>2</v>
      </c>
      <c r="R44" s="18">
        <v>0.02</v>
      </c>
    </row>
    <row r="45" spans="1:24" ht="23.25" x14ac:dyDescent="0.7">
      <c r="A45" s="22" t="s">
        <v>92</v>
      </c>
      <c r="B45" s="20" t="s">
        <v>9</v>
      </c>
      <c r="C45" s="15">
        <v>81.5</v>
      </c>
      <c r="D45" s="24">
        <v>88.5</v>
      </c>
      <c r="E45" s="4">
        <v>2</v>
      </c>
      <c r="F45" s="18">
        <v>0.01</v>
      </c>
      <c r="G45" s="15">
        <v>79.099999999999994</v>
      </c>
      <c r="H45" s="24">
        <v>88.5</v>
      </c>
      <c r="I45" s="4">
        <v>2</v>
      </c>
      <c r="J45" s="18">
        <v>0.01</v>
      </c>
      <c r="K45" s="15">
        <v>75.5</v>
      </c>
      <c r="L45" s="24">
        <v>75.5</v>
      </c>
      <c r="M45" s="4">
        <v>3</v>
      </c>
      <c r="N45" s="18">
        <v>0.01</v>
      </c>
      <c r="O45" s="15">
        <v>73.599999999999994</v>
      </c>
      <c r="P45" s="24">
        <v>75.5</v>
      </c>
      <c r="Q45" s="4">
        <v>3</v>
      </c>
      <c r="R45" s="18">
        <v>0.01</v>
      </c>
    </row>
    <row r="46" spans="1:24" ht="23.25" x14ac:dyDescent="0.7">
      <c r="A46" s="22" t="s">
        <v>93</v>
      </c>
      <c r="B46" s="20" t="s">
        <v>9</v>
      </c>
      <c r="C46" s="15">
        <v>72.5</v>
      </c>
      <c r="D46" s="24">
        <v>84.6</v>
      </c>
      <c r="E46" s="4">
        <v>2</v>
      </c>
      <c r="F46" s="18">
        <v>0.01</v>
      </c>
      <c r="G46" s="15">
        <v>83.4</v>
      </c>
      <c r="H46" s="24">
        <v>84.6</v>
      </c>
      <c r="I46" s="4">
        <v>1</v>
      </c>
      <c r="J46" s="18">
        <v>0.03</v>
      </c>
      <c r="K46" s="15">
        <v>75.599999999999994</v>
      </c>
      <c r="L46" s="24">
        <v>82.5</v>
      </c>
      <c r="M46" s="4">
        <v>2</v>
      </c>
      <c r="N46" s="18">
        <v>0.02</v>
      </c>
      <c r="O46" s="15">
        <v>70.7</v>
      </c>
      <c r="P46" s="24">
        <v>82.5</v>
      </c>
      <c r="Q46" s="4">
        <v>3</v>
      </c>
      <c r="R46" s="18">
        <v>0.02</v>
      </c>
    </row>
    <row r="47" spans="1:24" ht="23.25" x14ac:dyDescent="0.7">
      <c r="A47" s="22" t="s">
        <v>94</v>
      </c>
      <c r="B47" s="20" t="s">
        <v>9</v>
      </c>
      <c r="C47" s="15">
        <v>80.3</v>
      </c>
      <c r="D47" s="24">
        <v>86.2</v>
      </c>
      <c r="E47" s="4">
        <v>4</v>
      </c>
      <c r="F47" s="18">
        <v>0.02</v>
      </c>
      <c r="G47" s="15">
        <v>79.599999999999994</v>
      </c>
      <c r="H47" s="24">
        <v>86.2</v>
      </c>
      <c r="I47" s="4">
        <v>4</v>
      </c>
      <c r="J47" s="18">
        <v>0.01</v>
      </c>
      <c r="K47" s="15">
        <v>73.099999999999994</v>
      </c>
      <c r="L47" s="24">
        <v>86.8</v>
      </c>
      <c r="M47" s="4">
        <v>5</v>
      </c>
      <c r="N47" s="18">
        <v>0.01</v>
      </c>
      <c r="O47" s="15">
        <v>86.8</v>
      </c>
      <c r="P47" s="24">
        <v>86.8</v>
      </c>
      <c r="Q47" s="4">
        <v>3</v>
      </c>
      <c r="R47" s="18">
        <v>0.01</v>
      </c>
    </row>
    <row r="48" spans="1:24" ht="23.25" x14ac:dyDescent="0.7">
      <c r="A48" s="22" t="s">
        <v>95</v>
      </c>
      <c r="B48" s="20" t="s">
        <v>9</v>
      </c>
      <c r="C48" s="15">
        <v>71.7</v>
      </c>
      <c r="D48" s="24">
        <v>79.7</v>
      </c>
      <c r="E48" s="4">
        <v>4</v>
      </c>
      <c r="F48" s="18">
        <v>0.01</v>
      </c>
      <c r="G48" s="15">
        <v>72.099999999999994</v>
      </c>
      <c r="H48" s="24">
        <v>79.7</v>
      </c>
      <c r="I48" s="4">
        <v>3</v>
      </c>
      <c r="J48" s="18">
        <v>0.01</v>
      </c>
      <c r="K48" s="15">
        <v>82.8</v>
      </c>
      <c r="L48" s="24">
        <v>87.6</v>
      </c>
      <c r="M48" s="4">
        <v>4</v>
      </c>
      <c r="N48" s="18">
        <v>0.01</v>
      </c>
      <c r="O48" s="15">
        <v>85.9</v>
      </c>
      <c r="P48" s="24">
        <v>87.6</v>
      </c>
      <c r="Q48" s="4">
        <v>4</v>
      </c>
      <c r="R48" s="18">
        <v>0.01</v>
      </c>
    </row>
    <row r="49" spans="1:18" ht="23.25" x14ac:dyDescent="0.7">
      <c r="A49" s="22" t="s">
        <v>96</v>
      </c>
      <c r="B49" s="20" t="s">
        <v>9</v>
      </c>
      <c r="C49" s="15">
        <v>72.400000000000006</v>
      </c>
      <c r="D49" s="24">
        <v>84.6</v>
      </c>
      <c r="E49" s="4">
        <v>2</v>
      </c>
      <c r="F49" s="18">
        <v>0.01</v>
      </c>
      <c r="G49" s="15">
        <v>83.4</v>
      </c>
      <c r="H49" s="24">
        <v>84.6</v>
      </c>
      <c r="I49" s="4">
        <v>1</v>
      </c>
      <c r="J49" s="18">
        <v>0.03</v>
      </c>
      <c r="K49" s="15">
        <v>75.599999999999994</v>
      </c>
      <c r="L49" s="24">
        <v>82.5</v>
      </c>
      <c r="M49" s="4">
        <v>2</v>
      </c>
      <c r="N49" s="18">
        <v>0.01</v>
      </c>
      <c r="O49" s="15">
        <v>74.7</v>
      </c>
      <c r="P49" s="24">
        <v>82.5</v>
      </c>
      <c r="Q49" s="4">
        <v>3</v>
      </c>
      <c r="R49" s="18">
        <v>0.01</v>
      </c>
    </row>
    <row r="50" spans="1:18" ht="23.25" x14ac:dyDescent="0.7">
      <c r="A50" s="21" t="s">
        <v>92</v>
      </c>
      <c r="B50" s="7" t="s">
        <v>10</v>
      </c>
      <c r="C50" s="15">
        <v>86.4</v>
      </c>
      <c r="D50" s="24">
        <v>95.5</v>
      </c>
      <c r="E50" s="4">
        <v>4</v>
      </c>
      <c r="F50" s="18">
        <v>0.02</v>
      </c>
      <c r="G50" s="15">
        <v>94.4</v>
      </c>
      <c r="H50" s="24">
        <v>95.5</v>
      </c>
      <c r="I50" s="4">
        <v>1</v>
      </c>
      <c r="J50" s="18">
        <v>0.01</v>
      </c>
      <c r="K50" s="15">
        <v>90.8</v>
      </c>
      <c r="L50" s="24">
        <v>95.4</v>
      </c>
      <c r="M50" s="4">
        <v>4</v>
      </c>
      <c r="N50" s="18">
        <v>0.01</v>
      </c>
      <c r="O50" s="15">
        <v>95.1</v>
      </c>
      <c r="P50" s="24">
        <v>95.4</v>
      </c>
      <c r="Q50" s="4">
        <v>2</v>
      </c>
      <c r="R50" s="18">
        <v>0.01</v>
      </c>
    </row>
    <row r="51" spans="1:18" ht="23.25" x14ac:dyDescent="0.7">
      <c r="A51" s="21" t="s">
        <v>93</v>
      </c>
      <c r="B51" s="7" t="s">
        <v>10</v>
      </c>
      <c r="C51" s="15">
        <v>87.7</v>
      </c>
      <c r="D51" s="24">
        <v>95.5</v>
      </c>
      <c r="E51" s="4">
        <v>3</v>
      </c>
      <c r="F51" s="18">
        <v>0.02</v>
      </c>
      <c r="G51" s="15">
        <v>95.5</v>
      </c>
      <c r="H51" s="24">
        <v>95.5</v>
      </c>
      <c r="I51" s="4">
        <v>1</v>
      </c>
      <c r="J51" s="18">
        <v>0.01</v>
      </c>
      <c r="K51" s="15">
        <v>88.7</v>
      </c>
      <c r="L51" s="24">
        <v>95.4</v>
      </c>
      <c r="M51" s="4">
        <v>4</v>
      </c>
      <c r="N51" s="18">
        <v>0.01</v>
      </c>
      <c r="O51" s="15">
        <v>94.2</v>
      </c>
      <c r="P51" s="24">
        <v>95.4</v>
      </c>
      <c r="Q51" s="4">
        <v>2</v>
      </c>
      <c r="R51" s="18">
        <v>0.02</v>
      </c>
    </row>
    <row r="52" spans="1:18" ht="23.25" x14ac:dyDescent="0.7">
      <c r="A52" s="21" t="s">
        <v>94</v>
      </c>
      <c r="B52" s="7" t="s">
        <v>10</v>
      </c>
      <c r="C52" s="15">
        <v>89.6</v>
      </c>
      <c r="D52" s="24">
        <v>97.5</v>
      </c>
      <c r="E52" s="4">
        <v>4</v>
      </c>
      <c r="F52" s="18">
        <v>0.02</v>
      </c>
      <c r="G52" s="15">
        <v>96.6</v>
      </c>
      <c r="H52" s="24">
        <v>97.5</v>
      </c>
      <c r="I52" s="4">
        <v>1</v>
      </c>
      <c r="J52" s="18">
        <v>0.01</v>
      </c>
      <c r="K52" s="15">
        <v>89.9</v>
      </c>
      <c r="L52" s="24">
        <v>98.4</v>
      </c>
      <c r="M52" s="4">
        <v>4</v>
      </c>
      <c r="N52" s="18">
        <v>0.01</v>
      </c>
      <c r="O52" s="15">
        <v>96.6</v>
      </c>
      <c r="P52" s="24">
        <v>98.4</v>
      </c>
      <c r="Q52" s="4">
        <v>2</v>
      </c>
      <c r="R52" s="18">
        <v>0.02</v>
      </c>
    </row>
    <row r="53" spans="1:18" ht="23.25" x14ac:dyDescent="0.7">
      <c r="A53" s="21" t="s">
        <v>95</v>
      </c>
      <c r="B53" s="7" t="s">
        <v>10</v>
      </c>
      <c r="C53" s="15">
        <v>94</v>
      </c>
      <c r="D53" s="24">
        <v>101.7</v>
      </c>
      <c r="E53" s="4">
        <v>3</v>
      </c>
      <c r="F53" s="18">
        <v>0.02</v>
      </c>
      <c r="G53" s="15">
        <v>97.1</v>
      </c>
      <c r="H53" s="24">
        <v>101.7</v>
      </c>
      <c r="I53" s="4">
        <v>3</v>
      </c>
      <c r="J53" s="18">
        <v>0.04</v>
      </c>
      <c r="K53" s="15">
        <v>94.4</v>
      </c>
      <c r="L53" s="24">
        <v>101.3</v>
      </c>
      <c r="M53" s="4">
        <v>4</v>
      </c>
      <c r="N53" s="18">
        <v>0.01</v>
      </c>
      <c r="O53" s="15">
        <v>95.3</v>
      </c>
      <c r="P53" s="24">
        <v>101.3</v>
      </c>
      <c r="Q53" s="4">
        <v>5</v>
      </c>
      <c r="R53" s="18">
        <v>0.01</v>
      </c>
    </row>
    <row r="54" spans="1:18" ht="23.25" x14ac:dyDescent="0.7">
      <c r="A54" s="21" t="s">
        <v>96</v>
      </c>
      <c r="B54" s="7" t="s">
        <v>10</v>
      </c>
      <c r="C54" s="15">
        <v>86.4</v>
      </c>
      <c r="D54" s="24">
        <v>95.5</v>
      </c>
      <c r="E54" s="4">
        <v>4</v>
      </c>
      <c r="F54" s="18">
        <v>0.02</v>
      </c>
      <c r="G54" s="15">
        <v>94.1</v>
      </c>
      <c r="H54" s="24">
        <v>95.5</v>
      </c>
      <c r="I54" s="4">
        <v>2</v>
      </c>
      <c r="J54" s="18">
        <v>0.02</v>
      </c>
      <c r="K54" s="15">
        <v>90.1</v>
      </c>
      <c r="L54" s="24">
        <v>95.4</v>
      </c>
      <c r="M54" s="4">
        <v>4</v>
      </c>
      <c r="N54" s="18">
        <v>0.01</v>
      </c>
      <c r="O54" s="15">
        <v>95.7</v>
      </c>
      <c r="P54" s="24">
        <v>95.4</v>
      </c>
      <c r="Q54" s="4">
        <v>2</v>
      </c>
      <c r="R54" s="18">
        <v>0.02</v>
      </c>
    </row>
    <row r="55" spans="1:18" ht="23.25" x14ac:dyDescent="0.7">
      <c r="A55" s="21" t="s">
        <v>92</v>
      </c>
      <c r="B55" s="1" t="s">
        <v>14</v>
      </c>
      <c r="C55" s="15">
        <v>101</v>
      </c>
      <c r="D55" s="24">
        <v>108.6</v>
      </c>
      <c r="E55" s="4">
        <v>3</v>
      </c>
      <c r="F55" s="18">
        <v>0.03</v>
      </c>
      <c r="G55" s="15">
        <v>100.5</v>
      </c>
      <c r="H55" s="24">
        <v>108.6</v>
      </c>
      <c r="I55" s="4">
        <v>3</v>
      </c>
      <c r="J55" s="18">
        <v>0.03</v>
      </c>
      <c r="K55" s="15">
        <v>96.6</v>
      </c>
      <c r="L55" s="24">
        <v>96.6</v>
      </c>
      <c r="M55" s="4">
        <v>1</v>
      </c>
      <c r="N55" s="18">
        <v>0.01</v>
      </c>
      <c r="O55" s="15">
        <v>96.6</v>
      </c>
      <c r="P55" s="24">
        <v>96.6</v>
      </c>
      <c r="Q55" s="4">
        <v>1</v>
      </c>
      <c r="R55" s="18">
        <v>0.01</v>
      </c>
    </row>
    <row r="56" spans="1:18" ht="23.25" x14ac:dyDescent="0.7">
      <c r="A56" s="21" t="s">
        <v>93</v>
      </c>
      <c r="B56" s="1" t="s">
        <v>14</v>
      </c>
      <c r="C56" s="15">
        <v>101.1</v>
      </c>
      <c r="D56" s="24">
        <v>111</v>
      </c>
      <c r="E56" s="4">
        <v>3</v>
      </c>
      <c r="F56" s="18">
        <v>0.01</v>
      </c>
      <c r="G56" s="15">
        <v>102.1</v>
      </c>
      <c r="H56" s="24">
        <v>111</v>
      </c>
      <c r="I56" s="4">
        <v>3</v>
      </c>
      <c r="J56" s="18">
        <v>0.02</v>
      </c>
      <c r="K56" s="15">
        <v>92.2</v>
      </c>
      <c r="L56" s="24">
        <v>104.9</v>
      </c>
      <c r="M56" s="4">
        <v>3</v>
      </c>
      <c r="N56" s="18">
        <v>0.01</v>
      </c>
      <c r="O56" s="15">
        <v>97.1</v>
      </c>
      <c r="P56" s="24">
        <v>104.9</v>
      </c>
      <c r="Q56" s="4">
        <v>2</v>
      </c>
      <c r="R56" s="18">
        <v>0.01</v>
      </c>
    </row>
    <row r="57" spans="1:18" ht="23.25" x14ac:dyDescent="0.7">
      <c r="A57" s="21" t="s">
        <v>94</v>
      </c>
      <c r="B57" s="1" t="s">
        <v>14</v>
      </c>
      <c r="C57" s="15">
        <v>95.8</v>
      </c>
      <c r="D57" s="24">
        <v>108.1</v>
      </c>
      <c r="E57" s="4">
        <v>3</v>
      </c>
      <c r="F57" s="18">
        <v>0.01</v>
      </c>
      <c r="G57" s="15">
        <v>96.4</v>
      </c>
      <c r="H57" s="24">
        <v>108.1</v>
      </c>
      <c r="I57" s="4">
        <v>3</v>
      </c>
      <c r="J57" s="18">
        <v>0.01</v>
      </c>
      <c r="K57" s="15">
        <v>93.9</v>
      </c>
      <c r="L57" s="24">
        <v>97.9</v>
      </c>
      <c r="M57" s="4">
        <v>3</v>
      </c>
      <c r="N57" s="18">
        <v>0.01</v>
      </c>
      <c r="O57" s="15">
        <v>97</v>
      </c>
      <c r="P57" s="24">
        <v>97.9</v>
      </c>
      <c r="Q57" s="4">
        <v>3</v>
      </c>
      <c r="R57" s="18">
        <v>0.01</v>
      </c>
    </row>
    <row r="58" spans="1:18" ht="23.25" x14ac:dyDescent="0.7">
      <c r="A58" s="21" t="s">
        <v>95</v>
      </c>
      <c r="B58" s="1" t="s">
        <v>14</v>
      </c>
      <c r="C58" s="15">
        <v>105.4</v>
      </c>
      <c r="D58" s="24">
        <v>111</v>
      </c>
      <c r="E58" s="4">
        <v>3</v>
      </c>
      <c r="F58" s="18">
        <v>0.01</v>
      </c>
      <c r="G58" s="15">
        <v>104.3</v>
      </c>
      <c r="H58" s="24">
        <v>111</v>
      </c>
      <c r="I58" s="4">
        <v>3</v>
      </c>
      <c r="J58" s="18">
        <v>0.01</v>
      </c>
      <c r="K58" s="15">
        <v>93</v>
      </c>
      <c r="L58" s="24">
        <v>104.9</v>
      </c>
      <c r="M58" s="4">
        <v>3</v>
      </c>
      <c r="N58" s="18">
        <v>0.01</v>
      </c>
      <c r="O58" s="15">
        <v>97.9</v>
      </c>
      <c r="P58" s="24">
        <v>104.9</v>
      </c>
      <c r="Q58" s="4">
        <v>2</v>
      </c>
      <c r="R58" s="18">
        <v>0.01</v>
      </c>
    </row>
    <row r="59" spans="1:18" ht="23.25" x14ac:dyDescent="0.7">
      <c r="A59" s="21" t="s">
        <v>96</v>
      </c>
      <c r="B59" s="1" t="s">
        <v>14</v>
      </c>
      <c r="C59" s="15">
        <v>100</v>
      </c>
      <c r="D59" s="24">
        <v>103.9</v>
      </c>
      <c r="E59" s="4">
        <v>3</v>
      </c>
      <c r="F59" s="18">
        <v>0.02</v>
      </c>
      <c r="G59" s="15">
        <v>100</v>
      </c>
      <c r="H59" s="24">
        <v>103.9</v>
      </c>
      <c r="I59" s="4">
        <v>3</v>
      </c>
      <c r="J59" s="18">
        <v>0.01</v>
      </c>
      <c r="K59" s="15">
        <v>93.2</v>
      </c>
      <c r="L59" s="24">
        <v>98.1</v>
      </c>
      <c r="M59" s="4">
        <v>3</v>
      </c>
      <c r="N59" s="18">
        <v>0.01</v>
      </c>
      <c r="O59" s="15">
        <v>98.1</v>
      </c>
      <c r="P59" s="24">
        <v>98.1</v>
      </c>
      <c r="Q59" s="4">
        <v>2</v>
      </c>
      <c r="R59" s="18">
        <v>0.01</v>
      </c>
    </row>
    <row r="60" spans="1:18" ht="23.25" x14ac:dyDescent="0.7">
      <c r="A60" s="22" t="s">
        <v>92</v>
      </c>
      <c r="B60" s="5" t="s">
        <v>15</v>
      </c>
      <c r="C60" s="15">
        <v>94.4</v>
      </c>
      <c r="D60" s="24">
        <v>105.7</v>
      </c>
      <c r="E60" s="4">
        <v>2</v>
      </c>
      <c r="F60" s="18">
        <v>0.01</v>
      </c>
      <c r="G60" s="15">
        <v>103.7</v>
      </c>
      <c r="H60" s="24">
        <v>105.7</v>
      </c>
      <c r="I60" s="4">
        <v>1</v>
      </c>
      <c r="J60" s="18">
        <v>0.02</v>
      </c>
      <c r="K60" s="15">
        <v>94.9</v>
      </c>
      <c r="L60" s="24">
        <v>105.7</v>
      </c>
      <c r="M60" s="4">
        <v>2</v>
      </c>
      <c r="N60" s="18">
        <v>0.01</v>
      </c>
      <c r="O60" s="15">
        <v>103.6</v>
      </c>
      <c r="P60" s="24">
        <v>105.7</v>
      </c>
      <c r="Q60" s="4">
        <v>1</v>
      </c>
      <c r="R60" s="18">
        <v>0.02</v>
      </c>
    </row>
    <row r="61" spans="1:18" ht="23.25" x14ac:dyDescent="0.7">
      <c r="A61" s="22" t="s">
        <v>93</v>
      </c>
      <c r="B61" s="5" t="s">
        <v>15</v>
      </c>
      <c r="C61" s="15">
        <v>93.5</v>
      </c>
      <c r="D61" s="24">
        <v>105.7</v>
      </c>
      <c r="E61" s="4">
        <v>2</v>
      </c>
      <c r="F61" s="18">
        <v>0.01</v>
      </c>
      <c r="G61" s="15">
        <v>104.9</v>
      </c>
      <c r="H61" s="24">
        <v>105.7</v>
      </c>
      <c r="I61" s="4">
        <v>1</v>
      </c>
      <c r="J61" s="18">
        <v>0.02</v>
      </c>
      <c r="K61" s="15">
        <v>94.7</v>
      </c>
      <c r="L61" s="24">
        <v>105.7</v>
      </c>
      <c r="M61" s="4">
        <v>2</v>
      </c>
      <c r="N61" s="18">
        <v>0.01</v>
      </c>
      <c r="O61" s="15">
        <v>105</v>
      </c>
      <c r="P61" s="24">
        <v>105.7</v>
      </c>
      <c r="Q61" s="4">
        <v>1</v>
      </c>
      <c r="R61" s="18">
        <v>0.02</v>
      </c>
    </row>
    <row r="62" spans="1:18" ht="23.25" x14ac:dyDescent="0.7">
      <c r="A62" s="22" t="s">
        <v>94</v>
      </c>
      <c r="B62" s="5" t="s">
        <v>15</v>
      </c>
      <c r="C62" s="15">
        <v>95.3</v>
      </c>
      <c r="D62" s="24">
        <v>105.7</v>
      </c>
      <c r="E62" s="4">
        <v>2</v>
      </c>
      <c r="F62" s="18">
        <v>0.01</v>
      </c>
      <c r="G62" s="15">
        <v>105.4</v>
      </c>
      <c r="H62" s="24">
        <v>105.7</v>
      </c>
      <c r="I62" s="4">
        <v>1</v>
      </c>
      <c r="J62" s="18">
        <v>0.02</v>
      </c>
      <c r="K62" s="15">
        <v>93.1</v>
      </c>
      <c r="L62" s="24">
        <v>105.7</v>
      </c>
      <c r="M62" s="4">
        <v>2</v>
      </c>
      <c r="N62" s="18">
        <v>0.01</v>
      </c>
      <c r="O62" s="15">
        <v>104.6</v>
      </c>
      <c r="P62" s="24">
        <v>105.7</v>
      </c>
      <c r="Q62" s="4">
        <v>1</v>
      </c>
      <c r="R62" s="18">
        <v>0.02</v>
      </c>
    </row>
    <row r="63" spans="1:18" ht="23.25" x14ac:dyDescent="0.7">
      <c r="A63" s="22" t="s">
        <v>95</v>
      </c>
      <c r="B63" s="5" t="s">
        <v>15</v>
      </c>
      <c r="C63" s="15">
        <v>97.5</v>
      </c>
      <c r="D63" s="24">
        <v>109.3</v>
      </c>
      <c r="E63" s="4">
        <v>2</v>
      </c>
      <c r="F63" s="18">
        <v>0.01</v>
      </c>
      <c r="G63" s="15">
        <v>108.7</v>
      </c>
      <c r="H63" s="24">
        <v>109.3</v>
      </c>
      <c r="I63" s="4">
        <v>2</v>
      </c>
      <c r="J63" s="18">
        <v>0.01</v>
      </c>
      <c r="K63" s="15">
        <v>94.3</v>
      </c>
      <c r="L63" s="24">
        <v>104.1</v>
      </c>
      <c r="M63" s="4">
        <v>2</v>
      </c>
      <c r="N63" s="18">
        <v>0.01</v>
      </c>
      <c r="O63" s="15">
        <v>104.1</v>
      </c>
      <c r="P63" s="24">
        <v>104.1</v>
      </c>
      <c r="Q63" s="4">
        <v>1</v>
      </c>
      <c r="R63" s="18">
        <v>0.01</v>
      </c>
    </row>
    <row r="64" spans="1:18" ht="23.25" x14ac:dyDescent="0.7">
      <c r="A64" s="22" t="s">
        <v>96</v>
      </c>
      <c r="B64" s="5" t="s">
        <v>15</v>
      </c>
      <c r="C64" s="15">
        <v>92.4</v>
      </c>
      <c r="D64" s="24">
        <v>105.7</v>
      </c>
      <c r="E64" s="4">
        <v>2</v>
      </c>
      <c r="F64" s="18">
        <v>0.01</v>
      </c>
      <c r="G64" s="15">
        <v>103.2</v>
      </c>
      <c r="H64" s="24">
        <v>105.7</v>
      </c>
      <c r="I64" s="4">
        <v>1</v>
      </c>
      <c r="J64" s="18">
        <v>0.02</v>
      </c>
      <c r="K64" s="15">
        <v>92.9</v>
      </c>
      <c r="L64" s="24">
        <v>105.7</v>
      </c>
      <c r="M64" s="4">
        <v>2</v>
      </c>
      <c r="N64" s="18">
        <v>0.01</v>
      </c>
      <c r="O64" s="15">
        <v>104.8</v>
      </c>
      <c r="P64" s="24">
        <v>105.7</v>
      </c>
      <c r="Q64" s="4">
        <v>1</v>
      </c>
      <c r="R64" s="18">
        <v>0.02</v>
      </c>
    </row>
    <row r="65" spans="1:18" ht="23.25" x14ac:dyDescent="0.7">
      <c r="A65" s="21" t="s">
        <v>92</v>
      </c>
      <c r="B65" s="19" t="s">
        <v>16</v>
      </c>
      <c r="C65" s="15">
        <v>94.2</v>
      </c>
      <c r="D65" s="24">
        <v>101.8</v>
      </c>
      <c r="E65" s="4">
        <v>4</v>
      </c>
      <c r="F65" s="18">
        <v>0.01</v>
      </c>
      <c r="G65" s="15">
        <v>100.6</v>
      </c>
      <c r="H65" s="24">
        <v>101.8</v>
      </c>
      <c r="I65" s="4">
        <v>3</v>
      </c>
      <c r="J65" s="18">
        <v>0.02</v>
      </c>
      <c r="K65" s="15">
        <v>82.4</v>
      </c>
      <c r="L65" s="24">
        <v>85.4</v>
      </c>
      <c r="M65" s="4">
        <v>3</v>
      </c>
      <c r="N65" s="18">
        <v>0.01</v>
      </c>
      <c r="O65" s="15">
        <v>85.4</v>
      </c>
      <c r="P65" s="24">
        <v>85.4</v>
      </c>
      <c r="Q65" s="4">
        <v>2</v>
      </c>
      <c r="R65" s="18">
        <v>0.01</v>
      </c>
    </row>
    <row r="66" spans="1:18" ht="23.25" x14ac:dyDescent="0.7">
      <c r="A66" s="21" t="s">
        <v>93</v>
      </c>
      <c r="B66" s="19" t="s">
        <v>16</v>
      </c>
      <c r="C66" s="15">
        <v>81.900000000000006</v>
      </c>
      <c r="D66" s="24">
        <v>99.9</v>
      </c>
      <c r="E66" s="4">
        <v>3</v>
      </c>
      <c r="F66" s="18">
        <v>0.04</v>
      </c>
      <c r="G66" s="15">
        <v>81.2</v>
      </c>
      <c r="H66" s="24">
        <v>99.9</v>
      </c>
      <c r="I66" s="4">
        <v>3</v>
      </c>
      <c r="J66" s="18">
        <v>0.04</v>
      </c>
      <c r="K66" s="15">
        <v>89.6</v>
      </c>
      <c r="L66" s="24">
        <v>100.9</v>
      </c>
      <c r="M66" s="4">
        <v>3</v>
      </c>
      <c r="N66" s="18">
        <v>0.01</v>
      </c>
      <c r="O66" s="15">
        <v>89.6</v>
      </c>
      <c r="P66" s="24">
        <v>100.9</v>
      </c>
      <c r="Q66" s="4">
        <v>3</v>
      </c>
      <c r="R66" s="18">
        <v>0.01</v>
      </c>
    </row>
    <row r="67" spans="1:18" ht="23.25" x14ac:dyDescent="0.7">
      <c r="A67" s="21" t="s">
        <v>94</v>
      </c>
      <c r="B67" s="19" t="s">
        <v>16</v>
      </c>
      <c r="C67" s="15">
        <v>94.4</v>
      </c>
      <c r="D67" s="24">
        <v>96.6</v>
      </c>
      <c r="E67" s="4">
        <v>3</v>
      </c>
      <c r="F67" s="18">
        <v>0.01</v>
      </c>
      <c r="G67" s="15">
        <v>91.3</v>
      </c>
      <c r="H67" s="24">
        <v>96.6</v>
      </c>
      <c r="I67" s="4">
        <v>3</v>
      </c>
      <c r="J67" s="18">
        <v>0.02</v>
      </c>
      <c r="K67" s="15">
        <v>83.5</v>
      </c>
      <c r="L67" s="24">
        <v>94.4</v>
      </c>
      <c r="M67" s="4">
        <v>3</v>
      </c>
      <c r="N67" s="18">
        <v>0.01</v>
      </c>
      <c r="O67" s="15">
        <v>91.7</v>
      </c>
      <c r="P67" s="24">
        <v>94.4</v>
      </c>
      <c r="Q67" s="4">
        <v>3</v>
      </c>
      <c r="R67" s="18">
        <v>0.01</v>
      </c>
    </row>
    <row r="68" spans="1:18" ht="23.25" x14ac:dyDescent="0.7">
      <c r="A68" s="21" t="s">
        <v>95</v>
      </c>
      <c r="B68" s="19" t="s">
        <v>16</v>
      </c>
      <c r="C68" s="15">
        <v>82.9</v>
      </c>
      <c r="D68" s="24">
        <v>88.7</v>
      </c>
      <c r="E68" s="4">
        <v>4</v>
      </c>
      <c r="F68" s="18">
        <v>0.01</v>
      </c>
      <c r="G68" s="15">
        <v>88.1</v>
      </c>
      <c r="H68" s="24">
        <v>88.7</v>
      </c>
      <c r="I68" s="4">
        <v>2</v>
      </c>
      <c r="J68" s="18">
        <v>0.01</v>
      </c>
      <c r="K68" s="15">
        <v>99.9</v>
      </c>
      <c r="L68" s="24">
        <v>103.4</v>
      </c>
      <c r="M68" s="4">
        <v>2</v>
      </c>
      <c r="N68" s="18">
        <v>0.02</v>
      </c>
      <c r="O68" s="15">
        <v>103.4</v>
      </c>
      <c r="P68" s="24">
        <v>103.4</v>
      </c>
      <c r="Q68" s="4">
        <v>1</v>
      </c>
      <c r="R68" s="18">
        <v>0.01</v>
      </c>
    </row>
    <row r="69" spans="1:18" ht="23.25" x14ac:dyDescent="0.7">
      <c r="A69" s="21" t="s">
        <v>96</v>
      </c>
      <c r="B69" s="19" t="s">
        <v>16</v>
      </c>
      <c r="C69" s="15">
        <v>84.2</v>
      </c>
      <c r="D69" s="24">
        <v>94</v>
      </c>
      <c r="E69" s="4">
        <v>3</v>
      </c>
      <c r="F69" s="18">
        <v>0.01</v>
      </c>
      <c r="G69" s="15">
        <v>78.900000000000006</v>
      </c>
      <c r="H69" s="24">
        <v>94</v>
      </c>
      <c r="I69" s="4">
        <v>5</v>
      </c>
      <c r="J69" s="18">
        <v>0.04</v>
      </c>
      <c r="K69" s="15">
        <v>91.8</v>
      </c>
      <c r="L69" s="24">
        <v>99.7</v>
      </c>
      <c r="M69" s="4">
        <v>2</v>
      </c>
      <c r="N69" s="18">
        <v>0.02</v>
      </c>
      <c r="O69" s="15">
        <v>91.1</v>
      </c>
      <c r="P69" s="24">
        <v>99.7</v>
      </c>
      <c r="Q69" s="4">
        <v>3</v>
      </c>
      <c r="R69" s="18">
        <v>0.01</v>
      </c>
    </row>
    <row r="70" spans="1:18" ht="23.25" x14ac:dyDescent="0.7">
      <c r="A70" s="22" t="s">
        <v>92</v>
      </c>
      <c r="B70" s="20" t="s">
        <v>17</v>
      </c>
      <c r="C70" s="15">
        <v>88.9</v>
      </c>
      <c r="D70" s="24">
        <v>109.4</v>
      </c>
      <c r="E70" s="4">
        <v>3</v>
      </c>
      <c r="F70" s="18">
        <v>0.01</v>
      </c>
      <c r="G70" s="15">
        <v>94.6</v>
      </c>
      <c r="H70" s="24">
        <v>109.4</v>
      </c>
      <c r="I70" s="4">
        <v>2</v>
      </c>
      <c r="J70" s="18">
        <v>0.01</v>
      </c>
      <c r="K70" s="15">
        <v>89.5</v>
      </c>
      <c r="L70" s="24">
        <v>107.2</v>
      </c>
      <c r="M70" s="4">
        <v>3</v>
      </c>
      <c r="N70" s="18">
        <v>0.01</v>
      </c>
      <c r="O70" s="15">
        <v>107.2</v>
      </c>
      <c r="P70" s="24">
        <v>107.2</v>
      </c>
      <c r="Q70" s="4">
        <v>1</v>
      </c>
      <c r="R70" s="18">
        <v>0.01</v>
      </c>
    </row>
    <row r="71" spans="1:18" ht="23.25" x14ac:dyDescent="0.7">
      <c r="A71" s="22" t="s">
        <v>93</v>
      </c>
      <c r="B71" s="20" t="s">
        <v>17</v>
      </c>
      <c r="C71" s="15">
        <v>86.7</v>
      </c>
      <c r="D71" s="24">
        <v>109.4</v>
      </c>
      <c r="E71" s="4">
        <v>3</v>
      </c>
      <c r="F71" s="18">
        <v>0.01</v>
      </c>
      <c r="G71" s="15">
        <v>93.5</v>
      </c>
      <c r="H71" s="24">
        <v>109.4</v>
      </c>
      <c r="I71" s="4">
        <v>2</v>
      </c>
      <c r="J71" s="18">
        <v>0.01</v>
      </c>
      <c r="K71" s="15">
        <v>90.5</v>
      </c>
      <c r="L71" s="24">
        <v>107.7</v>
      </c>
      <c r="M71" s="4">
        <v>3</v>
      </c>
      <c r="N71" s="18">
        <v>0.01</v>
      </c>
      <c r="O71" s="15">
        <v>106.5</v>
      </c>
      <c r="P71" s="24">
        <v>107.7</v>
      </c>
      <c r="Q71" s="4">
        <v>1</v>
      </c>
      <c r="R71" s="18">
        <v>0.01</v>
      </c>
    </row>
    <row r="72" spans="1:18" ht="23.25" x14ac:dyDescent="0.7">
      <c r="A72" s="22" t="s">
        <v>94</v>
      </c>
      <c r="B72" s="20" t="s">
        <v>17</v>
      </c>
      <c r="C72" s="15">
        <v>87.3</v>
      </c>
      <c r="D72" s="24">
        <v>109.4</v>
      </c>
      <c r="E72" s="4">
        <v>3</v>
      </c>
      <c r="F72" s="18">
        <v>0.01</v>
      </c>
      <c r="G72" s="15">
        <v>99.1</v>
      </c>
      <c r="H72" s="24">
        <v>109.4</v>
      </c>
      <c r="I72" s="4">
        <v>1</v>
      </c>
      <c r="J72" s="18">
        <v>0.01</v>
      </c>
      <c r="K72" s="15">
        <v>92.9</v>
      </c>
      <c r="L72" s="24">
        <v>110.7</v>
      </c>
      <c r="M72" s="4">
        <v>2</v>
      </c>
      <c r="N72" s="18">
        <v>0.01</v>
      </c>
      <c r="O72" s="15">
        <v>110.7</v>
      </c>
      <c r="P72" s="24">
        <v>110.7</v>
      </c>
      <c r="Q72" s="4">
        <v>0</v>
      </c>
      <c r="R72" s="18">
        <v>0.01</v>
      </c>
    </row>
    <row r="73" spans="1:18" ht="23.25" x14ac:dyDescent="0.7">
      <c r="A73" s="22" t="s">
        <v>95</v>
      </c>
      <c r="B73" s="20" t="s">
        <v>17</v>
      </c>
      <c r="C73" s="15">
        <v>88.5</v>
      </c>
      <c r="D73" s="24">
        <v>109.4</v>
      </c>
      <c r="E73" s="4">
        <v>3</v>
      </c>
      <c r="F73" s="18">
        <v>0.01</v>
      </c>
      <c r="G73" s="15">
        <v>95.7</v>
      </c>
      <c r="H73" s="24">
        <v>109.4</v>
      </c>
      <c r="I73" s="4">
        <v>2</v>
      </c>
      <c r="J73" s="18">
        <v>0.01</v>
      </c>
      <c r="K73" s="15">
        <v>89.5</v>
      </c>
      <c r="L73" s="24">
        <v>109.6</v>
      </c>
      <c r="M73" s="4">
        <v>3</v>
      </c>
      <c r="N73" s="18">
        <v>0.01</v>
      </c>
      <c r="O73" s="15">
        <v>108.9</v>
      </c>
      <c r="P73" s="24">
        <v>109.6</v>
      </c>
      <c r="Q73" s="4">
        <v>1</v>
      </c>
      <c r="R73" s="18">
        <v>0.01</v>
      </c>
    </row>
    <row r="74" spans="1:18" ht="23.25" x14ac:dyDescent="0.7">
      <c r="A74" s="22" t="s">
        <v>96</v>
      </c>
      <c r="B74" s="20" t="s">
        <v>17</v>
      </c>
      <c r="C74" s="15">
        <v>87.8</v>
      </c>
      <c r="D74" s="24">
        <v>109.4</v>
      </c>
      <c r="E74" s="4">
        <v>3</v>
      </c>
      <c r="F74" s="18">
        <v>0.01</v>
      </c>
      <c r="G74" s="15">
        <v>99.7</v>
      </c>
      <c r="H74" s="24">
        <v>109.4</v>
      </c>
      <c r="I74" s="4">
        <v>1</v>
      </c>
      <c r="J74" s="18">
        <v>0.01</v>
      </c>
      <c r="K74" s="15">
        <v>90</v>
      </c>
      <c r="L74" s="24">
        <v>107.7</v>
      </c>
      <c r="M74" s="4">
        <v>3</v>
      </c>
      <c r="N74" s="18">
        <v>0.01</v>
      </c>
      <c r="O74" s="15">
        <v>107.7</v>
      </c>
      <c r="P74" s="24">
        <v>107.7</v>
      </c>
      <c r="Q74" s="4">
        <v>1</v>
      </c>
      <c r="R74" s="18">
        <v>0.01</v>
      </c>
    </row>
    <row r="75" spans="1:18" ht="23.25" x14ac:dyDescent="0.7">
      <c r="A75" s="21"/>
      <c r="B75" s="7" t="s">
        <v>18</v>
      </c>
      <c r="C75" s="15">
        <v>80.2</v>
      </c>
      <c r="D75" s="24">
        <v>83.7</v>
      </c>
      <c r="E75" s="4">
        <v>3</v>
      </c>
      <c r="F75" s="18">
        <v>0.01</v>
      </c>
      <c r="G75" s="15">
        <v>80.599999999999994</v>
      </c>
      <c r="H75" s="24">
        <v>83.7</v>
      </c>
      <c r="I75" s="4">
        <v>2</v>
      </c>
      <c r="J75" s="18">
        <v>0.01</v>
      </c>
      <c r="K75" s="15">
        <v>81.5</v>
      </c>
      <c r="L75" s="24">
        <v>84.7</v>
      </c>
      <c r="M75" s="4">
        <v>2</v>
      </c>
      <c r="N75" s="18">
        <v>0.01</v>
      </c>
      <c r="O75" s="15">
        <v>81.7</v>
      </c>
      <c r="P75" s="24">
        <v>84.7</v>
      </c>
      <c r="Q75" s="4">
        <v>3</v>
      </c>
      <c r="R75" s="18">
        <v>0.01</v>
      </c>
    </row>
    <row r="76" spans="1:18" ht="23.25" x14ac:dyDescent="0.7">
      <c r="A76" s="21" t="s">
        <v>93</v>
      </c>
      <c r="B76" s="7" t="s">
        <v>18</v>
      </c>
      <c r="C76" s="15">
        <v>91.1</v>
      </c>
      <c r="D76" s="24">
        <v>91.1</v>
      </c>
      <c r="E76" s="4">
        <v>1</v>
      </c>
      <c r="F76" s="18">
        <v>0.01</v>
      </c>
      <c r="G76" s="15">
        <v>90.1</v>
      </c>
      <c r="H76" s="24">
        <v>91.1</v>
      </c>
      <c r="I76" s="4">
        <v>3</v>
      </c>
      <c r="J76" s="18">
        <v>7.0000000000000007E-2</v>
      </c>
      <c r="K76" s="15">
        <v>78.099999999999994</v>
      </c>
      <c r="L76" s="24">
        <v>93.4</v>
      </c>
      <c r="M76" s="4">
        <v>4</v>
      </c>
      <c r="N76" s="18">
        <v>0.01</v>
      </c>
      <c r="O76" s="15">
        <v>78</v>
      </c>
      <c r="P76" s="24">
        <v>93.4</v>
      </c>
      <c r="Q76" s="4">
        <v>4</v>
      </c>
      <c r="R76" s="18">
        <v>0.01</v>
      </c>
    </row>
    <row r="77" spans="1:18" ht="23.25" x14ac:dyDescent="0.7">
      <c r="A77" s="21" t="s">
        <v>94</v>
      </c>
      <c r="B77" s="7" t="s">
        <v>18</v>
      </c>
      <c r="C77" s="15">
        <v>80.5</v>
      </c>
      <c r="D77" s="24">
        <v>83</v>
      </c>
      <c r="E77" s="4">
        <v>2</v>
      </c>
      <c r="F77" s="18">
        <v>0.01</v>
      </c>
      <c r="G77" s="15">
        <v>78</v>
      </c>
      <c r="H77" s="24">
        <v>83</v>
      </c>
      <c r="I77" s="4">
        <v>3</v>
      </c>
      <c r="J77" s="18" t="s">
        <v>97</v>
      </c>
      <c r="K77" s="15">
        <v>77.7</v>
      </c>
      <c r="L77" s="24">
        <v>80.2</v>
      </c>
      <c r="M77" s="4">
        <v>3</v>
      </c>
      <c r="N77" s="18">
        <v>0.01</v>
      </c>
      <c r="O77" s="15">
        <v>77.7</v>
      </c>
      <c r="P77" s="24">
        <v>80.2</v>
      </c>
      <c r="Q77" s="4">
        <v>3</v>
      </c>
      <c r="R77" s="18">
        <v>0.01</v>
      </c>
    </row>
    <row r="78" spans="1:18" ht="23.25" x14ac:dyDescent="0.7">
      <c r="A78" s="21" t="s">
        <v>95</v>
      </c>
      <c r="B78" s="7" t="s">
        <v>18</v>
      </c>
      <c r="C78" s="15">
        <v>81.599999999999994</v>
      </c>
      <c r="D78" s="24">
        <v>83.7</v>
      </c>
      <c r="E78" s="4">
        <v>3</v>
      </c>
      <c r="F78" s="18">
        <v>0.01</v>
      </c>
      <c r="G78" s="15">
        <v>81.8</v>
      </c>
      <c r="H78" s="24">
        <v>83.7</v>
      </c>
      <c r="I78" s="4">
        <v>2</v>
      </c>
      <c r="J78" s="18">
        <v>0.01</v>
      </c>
      <c r="K78" s="15">
        <v>82.9</v>
      </c>
      <c r="L78" s="24">
        <v>84.7</v>
      </c>
      <c r="M78" s="4">
        <v>2</v>
      </c>
      <c r="N78" s="18">
        <v>0.01</v>
      </c>
      <c r="O78" s="15">
        <v>81.7</v>
      </c>
      <c r="P78" s="24">
        <v>84.7</v>
      </c>
      <c r="Q78" s="4">
        <v>3</v>
      </c>
      <c r="R78" s="18">
        <v>0.01</v>
      </c>
    </row>
    <row r="79" spans="1:18" ht="23.25" x14ac:dyDescent="0.7">
      <c r="A79" s="21" t="s">
        <v>96</v>
      </c>
      <c r="B79" s="7" t="s">
        <v>18</v>
      </c>
      <c r="C79" s="15">
        <v>80.900000000000006</v>
      </c>
      <c r="D79" s="24">
        <v>83.7</v>
      </c>
      <c r="E79" s="4">
        <v>3</v>
      </c>
      <c r="F79" s="18">
        <v>0.01</v>
      </c>
      <c r="G79" s="15">
        <v>78.7</v>
      </c>
      <c r="H79" s="24">
        <v>83.7</v>
      </c>
      <c r="I79" s="4">
        <v>3</v>
      </c>
      <c r="J79" s="18">
        <v>0.02</v>
      </c>
      <c r="K79" s="15">
        <v>81.2</v>
      </c>
      <c r="L79" s="24">
        <v>83.7</v>
      </c>
      <c r="M79" s="4">
        <v>2</v>
      </c>
      <c r="N79" s="18">
        <v>0.01</v>
      </c>
      <c r="O79" s="15">
        <v>80.7</v>
      </c>
      <c r="P79" s="24">
        <v>83.7</v>
      </c>
      <c r="Q79" s="4">
        <v>3</v>
      </c>
      <c r="R79" s="18">
        <v>0.01</v>
      </c>
    </row>
    <row r="80" spans="1:18" ht="23.25" x14ac:dyDescent="0.7">
      <c r="A80" s="21" t="s">
        <v>92</v>
      </c>
      <c r="B80" s="1" t="s">
        <v>19</v>
      </c>
      <c r="C80" s="15">
        <v>92.6</v>
      </c>
      <c r="D80" s="24">
        <v>100.4</v>
      </c>
      <c r="E80" s="4">
        <v>1</v>
      </c>
      <c r="F80" s="18">
        <v>0.02</v>
      </c>
      <c r="G80" s="15">
        <v>91.2</v>
      </c>
      <c r="H80" s="24">
        <v>100.4</v>
      </c>
      <c r="I80" s="4">
        <v>3</v>
      </c>
      <c r="J80" s="18">
        <v>0.01</v>
      </c>
      <c r="K80" s="15">
        <v>93</v>
      </c>
      <c r="L80" s="24">
        <v>100.8</v>
      </c>
      <c r="M80" s="4">
        <v>2</v>
      </c>
      <c r="N80" s="18">
        <v>0.01</v>
      </c>
      <c r="O80" s="15">
        <v>99.1</v>
      </c>
      <c r="P80" s="24">
        <v>100.8</v>
      </c>
      <c r="Q80" s="4">
        <v>2</v>
      </c>
      <c r="R80" s="18">
        <v>0.01</v>
      </c>
    </row>
    <row r="81" spans="1:18" ht="23.25" x14ac:dyDescent="0.7">
      <c r="A81" s="21" t="s">
        <v>93</v>
      </c>
      <c r="B81" s="1" t="s">
        <v>19</v>
      </c>
      <c r="C81" s="15">
        <v>89.7</v>
      </c>
      <c r="D81" s="24">
        <v>100.4</v>
      </c>
      <c r="E81" s="4">
        <v>2</v>
      </c>
      <c r="F81" s="18">
        <v>0.01</v>
      </c>
      <c r="G81" s="15">
        <v>87.3</v>
      </c>
      <c r="H81" s="24">
        <v>100.4</v>
      </c>
      <c r="I81" s="4">
        <v>3</v>
      </c>
      <c r="J81" s="18">
        <v>0.01</v>
      </c>
      <c r="K81" s="15">
        <v>95.2</v>
      </c>
      <c r="L81" s="24">
        <v>99.8</v>
      </c>
      <c r="M81" s="4">
        <v>2</v>
      </c>
      <c r="N81" s="18">
        <v>0.01</v>
      </c>
      <c r="O81" s="15">
        <v>98.6</v>
      </c>
      <c r="P81" s="24">
        <v>0.02</v>
      </c>
      <c r="Q81" s="4">
        <v>2</v>
      </c>
      <c r="R81" s="18">
        <v>0.01</v>
      </c>
    </row>
    <row r="82" spans="1:18" ht="23.25" x14ac:dyDescent="0.7">
      <c r="A82" s="21" t="s">
        <v>94</v>
      </c>
      <c r="B82" s="1" t="s">
        <v>19</v>
      </c>
      <c r="C82" s="15">
        <v>90.5</v>
      </c>
      <c r="D82" s="24">
        <v>100.4</v>
      </c>
      <c r="E82" s="4">
        <v>2</v>
      </c>
      <c r="F82" s="18">
        <v>0.01</v>
      </c>
      <c r="G82" s="15">
        <v>88.1</v>
      </c>
      <c r="H82" s="24">
        <v>100.4</v>
      </c>
      <c r="I82" s="4">
        <v>3</v>
      </c>
      <c r="J82" s="18">
        <v>0.01</v>
      </c>
      <c r="K82" s="15">
        <v>94</v>
      </c>
      <c r="L82" s="24">
        <v>99.4</v>
      </c>
      <c r="M82" s="4">
        <v>2</v>
      </c>
      <c r="N82" s="18">
        <v>0.01</v>
      </c>
      <c r="O82" s="15">
        <v>98.7</v>
      </c>
      <c r="P82" s="24">
        <v>99.4</v>
      </c>
      <c r="Q82" s="4">
        <v>2</v>
      </c>
      <c r="R82" s="18">
        <v>0.02</v>
      </c>
    </row>
    <row r="83" spans="1:18" ht="23.25" x14ac:dyDescent="0.7">
      <c r="A83" s="21" t="s">
        <v>95</v>
      </c>
      <c r="B83" s="1" t="s">
        <v>19</v>
      </c>
      <c r="C83" s="15">
        <v>90.1</v>
      </c>
      <c r="D83" s="24">
        <v>100.4</v>
      </c>
      <c r="E83" s="4">
        <v>2</v>
      </c>
      <c r="F83" s="18">
        <v>0.01</v>
      </c>
      <c r="G83" s="15">
        <v>87.7</v>
      </c>
      <c r="H83" s="24">
        <v>100.4</v>
      </c>
      <c r="I83" s="4">
        <v>3</v>
      </c>
      <c r="J83" s="18">
        <v>0.01</v>
      </c>
      <c r="K83" s="15">
        <v>96.4</v>
      </c>
      <c r="L83" s="24">
        <v>99.8</v>
      </c>
      <c r="M83" s="4">
        <v>2</v>
      </c>
      <c r="N83" s="18">
        <v>0.01</v>
      </c>
      <c r="O83" s="15">
        <v>95.6</v>
      </c>
      <c r="P83" s="24">
        <v>99.8</v>
      </c>
      <c r="Q83" s="4">
        <v>2</v>
      </c>
      <c r="R83" s="18">
        <v>0.01</v>
      </c>
    </row>
    <row r="84" spans="1:18" ht="23.25" x14ac:dyDescent="0.7">
      <c r="A84" s="21" t="s">
        <v>96</v>
      </c>
      <c r="B84" s="1" t="s">
        <v>19</v>
      </c>
      <c r="C84" s="15">
        <v>92.6</v>
      </c>
      <c r="D84" s="24">
        <v>100.4</v>
      </c>
      <c r="E84" s="4">
        <v>1</v>
      </c>
      <c r="F84" s="18">
        <v>0.02</v>
      </c>
      <c r="G84" s="15">
        <v>90.2</v>
      </c>
      <c r="H84" s="24">
        <v>100.4</v>
      </c>
      <c r="I84" s="4">
        <v>2</v>
      </c>
      <c r="J84" s="18">
        <v>0.01</v>
      </c>
      <c r="K84" s="15">
        <v>97.4</v>
      </c>
      <c r="L84" s="24">
        <v>99.8</v>
      </c>
      <c r="M84" s="4">
        <v>2</v>
      </c>
      <c r="N84" s="18">
        <v>0.01</v>
      </c>
      <c r="O84" s="15">
        <v>99.8</v>
      </c>
      <c r="P84" s="24">
        <v>99.8</v>
      </c>
      <c r="Q84" s="4">
        <v>1</v>
      </c>
      <c r="R84" s="18">
        <v>0.01</v>
      </c>
    </row>
    <row r="85" spans="1:18" ht="23.25" x14ac:dyDescent="0.7">
      <c r="A85" s="22" t="s">
        <v>92</v>
      </c>
      <c r="B85" s="5" t="s">
        <v>20</v>
      </c>
      <c r="C85" s="15">
        <v>80.2</v>
      </c>
      <c r="D85" s="24">
        <v>91.7</v>
      </c>
      <c r="E85" s="4">
        <v>3</v>
      </c>
      <c r="F85" s="18">
        <v>0.02</v>
      </c>
      <c r="G85" s="15">
        <v>85.3</v>
      </c>
      <c r="H85" s="24">
        <v>91.7</v>
      </c>
      <c r="I85" s="4">
        <v>2</v>
      </c>
      <c r="J85" s="18">
        <v>0.01</v>
      </c>
      <c r="K85" s="15">
        <v>82.6</v>
      </c>
      <c r="L85" s="24">
        <v>91.1</v>
      </c>
      <c r="M85" s="4">
        <v>3</v>
      </c>
      <c r="N85" s="18">
        <v>0.01</v>
      </c>
      <c r="O85" s="15">
        <v>91.1</v>
      </c>
      <c r="P85" s="24">
        <v>91.1</v>
      </c>
      <c r="Q85" s="4">
        <v>2</v>
      </c>
      <c r="R85" s="18">
        <v>0.01</v>
      </c>
    </row>
    <row r="86" spans="1:18" ht="23.25" x14ac:dyDescent="0.7">
      <c r="A86" s="22" t="s">
        <v>93</v>
      </c>
      <c r="B86" s="5" t="s">
        <v>20</v>
      </c>
      <c r="C86" s="15">
        <v>85.6</v>
      </c>
      <c r="D86" s="24">
        <v>94.1</v>
      </c>
      <c r="E86" s="4">
        <v>1</v>
      </c>
      <c r="F86" s="18">
        <v>0.02</v>
      </c>
      <c r="G86" s="15">
        <v>86.7</v>
      </c>
      <c r="H86" s="24">
        <v>94.1</v>
      </c>
      <c r="I86" s="4">
        <v>1</v>
      </c>
      <c r="J86" s="18">
        <v>0.03</v>
      </c>
      <c r="K86" s="15">
        <v>82.4</v>
      </c>
      <c r="L86" s="24">
        <v>90.9</v>
      </c>
      <c r="M86" s="4">
        <v>3</v>
      </c>
      <c r="N86" s="18">
        <v>0.01</v>
      </c>
      <c r="O86" s="15">
        <v>90.9</v>
      </c>
      <c r="P86" s="24">
        <v>90.9</v>
      </c>
      <c r="Q86" s="4">
        <v>2</v>
      </c>
      <c r="R86" s="18">
        <v>0.01</v>
      </c>
    </row>
    <row r="87" spans="1:18" ht="23.25" x14ac:dyDescent="0.7">
      <c r="A87" s="22" t="s">
        <v>94</v>
      </c>
      <c r="B87" s="5" t="s">
        <v>20</v>
      </c>
      <c r="C87" s="15">
        <v>80.3</v>
      </c>
      <c r="D87" s="24">
        <v>92</v>
      </c>
      <c r="E87" s="4">
        <v>3</v>
      </c>
      <c r="F87" s="18">
        <v>0.05</v>
      </c>
      <c r="G87" s="15">
        <v>85.6</v>
      </c>
      <c r="H87" s="24">
        <v>92</v>
      </c>
      <c r="I87" s="4">
        <v>2</v>
      </c>
      <c r="J87" s="18">
        <v>0.01</v>
      </c>
      <c r="K87" s="15">
        <v>86.6</v>
      </c>
      <c r="L87" s="24">
        <v>95.1</v>
      </c>
      <c r="M87" s="4">
        <v>2</v>
      </c>
      <c r="N87" s="18">
        <v>0.01</v>
      </c>
      <c r="O87" s="15">
        <v>95.1</v>
      </c>
      <c r="P87" s="24">
        <v>95.1</v>
      </c>
      <c r="Q87" s="4">
        <v>1</v>
      </c>
      <c r="R87" s="18">
        <v>0.01</v>
      </c>
    </row>
    <row r="88" spans="1:18" ht="23.25" x14ac:dyDescent="0.7">
      <c r="A88" s="22" t="s">
        <v>95</v>
      </c>
      <c r="B88" s="5" t="s">
        <v>20</v>
      </c>
      <c r="C88" s="15">
        <v>78.7</v>
      </c>
      <c r="D88" s="24">
        <v>90.5</v>
      </c>
      <c r="E88" s="4">
        <v>3</v>
      </c>
      <c r="F88" s="18">
        <v>0.05</v>
      </c>
      <c r="G88" s="15">
        <v>84.1</v>
      </c>
      <c r="H88" s="24">
        <v>90.5</v>
      </c>
      <c r="I88" s="4">
        <v>2</v>
      </c>
      <c r="J88" s="18">
        <v>0.01</v>
      </c>
      <c r="K88" s="15">
        <v>82.5</v>
      </c>
      <c r="L88" s="24">
        <v>91</v>
      </c>
      <c r="M88" s="4">
        <v>3</v>
      </c>
      <c r="N88" s="18">
        <v>0.01</v>
      </c>
      <c r="O88" s="15">
        <v>91</v>
      </c>
      <c r="P88" s="24">
        <v>91</v>
      </c>
      <c r="Q88" s="4">
        <v>2</v>
      </c>
      <c r="R88" s="18">
        <v>0.01</v>
      </c>
    </row>
    <row r="89" spans="1:18" ht="23.25" x14ac:dyDescent="0.7">
      <c r="A89" s="22" t="s">
        <v>96</v>
      </c>
      <c r="B89" s="5" t="s">
        <v>20</v>
      </c>
      <c r="C89" s="15">
        <v>80.599999999999994</v>
      </c>
      <c r="D89" s="24">
        <v>92</v>
      </c>
      <c r="E89" s="4">
        <v>3</v>
      </c>
      <c r="F89" s="18">
        <v>0.01</v>
      </c>
      <c r="G89" s="15">
        <v>85.6</v>
      </c>
      <c r="H89" s="24">
        <v>92</v>
      </c>
      <c r="I89" s="4">
        <v>2</v>
      </c>
      <c r="J89" s="18">
        <v>0.01</v>
      </c>
      <c r="K89" s="15">
        <v>91.8</v>
      </c>
      <c r="L89" s="24">
        <v>100.3</v>
      </c>
      <c r="M89" s="4">
        <v>2</v>
      </c>
      <c r="N89" s="18">
        <v>0.01</v>
      </c>
      <c r="O89" s="15">
        <v>100.3</v>
      </c>
      <c r="P89" s="24">
        <v>100.3</v>
      </c>
      <c r="Q89" s="4">
        <v>1</v>
      </c>
      <c r="R89" s="18">
        <v>0.02</v>
      </c>
    </row>
    <row r="90" spans="1:18" ht="23.25" x14ac:dyDescent="0.7">
      <c r="A90" s="21" t="s">
        <v>92</v>
      </c>
      <c r="B90" s="19" t="s">
        <v>21</v>
      </c>
      <c r="C90" s="15">
        <v>79.099999999999994</v>
      </c>
      <c r="D90" s="24">
        <v>98.7</v>
      </c>
      <c r="E90" s="4">
        <v>4</v>
      </c>
      <c r="F90" s="18">
        <v>0.01</v>
      </c>
      <c r="G90" s="15">
        <v>84.9</v>
      </c>
      <c r="H90" s="24">
        <v>98.7</v>
      </c>
      <c r="I90" s="4">
        <v>4</v>
      </c>
      <c r="J90" s="18">
        <v>0.01</v>
      </c>
      <c r="K90" s="15">
        <v>91.7</v>
      </c>
      <c r="L90" s="24">
        <v>104.6</v>
      </c>
      <c r="M90" s="4">
        <v>4</v>
      </c>
      <c r="N90" s="18">
        <v>0.01</v>
      </c>
      <c r="O90" s="15">
        <v>100.2</v>
      </c>
      <c r="P90" s="24">
        <v>104.6</v>
      </c>
      <c r="Q90" s="4">
        <v>2</v>
      </c>
      <c r="R90" s="18">
        <v>0.01</v>
      </c>
    </row>
    <row r="91" spans="1:18" ht="23.25" x14ac:dyDescent="0.7">
      <c r="A91" s="21" t="s">
        <v>93</v>
      </c>
      <c r="B91" s="19" t="s">
        <v>21</v>
      </c>
      <c r="C91" s="15">
        <v>90.7</v>
      </c>
      <c r="D91" s="24">
        <v>111.7</v>
      </c>
      <c r="E91" s="4">
        <v>3</v>
      </c>
      <c r="F91" s="18">
        <v>0.03</v>
      </c>
      <c r="G91" s="15">
        <v>86.6</v>
      </c>
      <c r="H91" s="24">
        <v>111.7</v>
      </c>
      <c r="I91" s="4">
        <v>4</v>
      </c>
      <c r="J91" s="18">
        <v>0.03</v>
      </c>
      <c r="K91" s="15">
        <v>91.4</v>
      </c>
      <c r="L91" s="24">
        <v>106.6</v>
      </c>
      <c r="M91" s="4">
        <v>4</v>
      </c>
      <c r="N91" s="18">
        <v>0.01</v>
      </c>
      <c r="O91" s="15">
        <v>97.4</v>
      </c>
      <c r="P91" s="24">
        <v>106.6</v>
      </c>
      <c r="Q91" s="4">
        <v>4</v>
      </c>
      <c r="R91" s="18">
        <v>0.01</v>
      </c>
    </row>
    <row r="92" spans="1:18" ht="23.25" x14ac:dyDescent="0.7">
      <c r="A92" s="21" t="s">
        <v>94</v>
      </c>
      <c r="B92" s="19" t="s">
        <v>21</v>
      </c>
      <c r="C92" s="15">
        <v>80.2</v>
      </c>
      <c r="D92" s="24">
        <v>102.6</v>
      </c>
      <c r="E92" s="4">
        <v>5</v>
      </c>
      <c r="F92" s="18">
        <v>0.02</v>
      </c>
      <c r="G92" s="15">
        <v>95.9</v>
      </c>
      <c r="H92" s="24">
        <v>102.6</v>
      </c>
      <c r="I92" s="4">
        <v>2</v>
      </c>
      <c r="J92" s="18">
        <v>0.01</v>
      </c>
      <c r="K92" s="15">
        <v>101</v>
      </c>
      <c r="L92" s="24">
        <v>109.5</v>
      </c>
      <c r="M92" s="4">
        <v>3</v>
      </c>
      <c r="N92" s="18">
        <v>0.01</v>
      </c>
      <c r="O92" s="15">
        <v>105.1</v>
      </c>
      <c r="P92" s="24">
        <v>109.5</v>
      </c>
      <c r="Q92" s="4">
        <v>2</v>
      </c>
      <c r="R92" s="18">
        <v>0.02</v>
      </c>
    </row>
    <row r="93" spans="1:18" ht="23.25" x14ac:dyDescent="0.7">
      <c r="A93" s="21" t="s">
        <v>95</v>
      </c>
      <c r="B93" s="19" t="s">
        <v>21</v>
      </c>
      <c r="C93" s="15">
        <v>99.1</v>
      </c>
      <c r="D93" s="24">
        <v>119.8</v>
      </c>
      <c r="E93" s="4">
        <v>5</v>
      </c>
      <c r="F93" s="18">
        <v>0.04</v>
      </c>
      <c r="G93" s="15">
        <v>102.9</v>
      </c>
      <c r="H93" s="24">
        <v>119.8</v>
      </c>
      <c r="I93" s="4">
        <v>5</v>
      </c>
      <c r="J93" s="18">
        <v>0.1</v>
      </c>
      <c r="K93" s="15">
        <v>90.3</v>
      </c>
      <c r="L93" s="24">
        <v>99.6</v>
      </c>
      <c r="M93" s="4">
        <v>4</v>
      </c>
      <c r="N93" s="18">
        <v>0.01</v>
      </c>
      <c r="O93" s="15">
        <v>99.6</v>
      </c>
      <c r="P93" s="24">
        <v>99.6</v>
      </c>
      <c r="Q93" s="4">
        <v>1</v>
      </c>
      <c r="R93" s="18">
        <v>0.01</v>
      </c>
    </row>
    <row r="94" spans="1:18" ht="23.25" x14ac:dyDescent="0.7">
      <c r="A94" s="21" t="s">
        <v>96</v>
      </c>
      <c r="B94" s="19" t="s">
        <v>21</v>
      </c>
      <c r="C94" s="15">
        <v>90.7</v>
      </c>
      <c r="D94" s="24">
        <v>111.7</v>
      </c>
      <c r="E94" s="4">
        <v>3</v>
      </c>
      <c r="F94" s="18">
        <v>0.03</v>
      </c>
      <c r="G94" s="15">
        <v>86.6</v>
      </c>
      <c r="H94" s="24">
        <v>111.7</v>
      </c>
      <c r="I94" s="4">
        <v>4</v>
      </c>
      <c r="J94" s="18">
        <v>0.03</v>
      </c>
      <c r="K94" s="15">
        <v>89.4</v>
      </c>
      <c r="L94" s="24">
        <v>106.7</v>
      </c>
      <c r="M94" s="4">
        <v>4</v>
      </c>
      <c r="N94" s="18">
        <v>0.01</v>
      </c>
      <c r="O94" s="15">
        <v>98.3</v>
      </c>
      <c r="P94" s="24">
        <v>106.7</v>
      </c>
      <c r="Q94" s="4">
        <v>4</v>
      </c>
      <c r="R94" s="18">
        <v>0.01</v>
      </c>
    </row>
    <row r="95" spans="1:18" ht="23.25" x14ac:dyDescent="0.7">
      <c r="A95" s="22" t="s">
        <v>92</v>
      </c>
      <c r="B95" s="20" t="s">
        <v>22</v>
      </c>
      <c r="C95" s="15">
        <v>93.9</v>
      </c>
      <c r="D95" s="24">
        <v>111.7</v>
      </c>
      <c r="E95" s="4">
        <v>3</v>
      </c>
      <c r="F95" s="18">
        <v>0.06</v>
      </c>
      <c r="G95" s="15">
        <v>92.1</v>
      </c>
      <c r="H95" s="24">
        <v>111.7</v>
      </c>
      <c r="I95" s="4">
        <v>4</v>
      </c>
      <c r="J95" s="18">
        <v>0.1</v>
      </c>
      <c r="K95" s="15">
        <v>91.8</v>
      </c>
      <c r="L95" s="24">
        <v>109.4</v>
      </c>
      <c r="M95" s="4">
        <v>4</v>
      </c>
      <c r="N95" s="18">
        <v>0.01</v>
      </c>
      <c r="O95" s="15">
        <v>98.6</v>
      </c>
      <c r="P95" s="24">
        <v>109.4</v>
      </c>
      <c r="Q95" s="4">
        <v>4</v>
      </c>
      <c r="R95" s="18">
        <v>0.01</v>
      </c>
    </row>
    <row r="96" spans="1:18" ht="23.25" x14ac:dyDescent="0.7">
      <c r="A96" s="22" t="s">
        <v>93</v>
      </c>
      <c r="B96" s="20" t="s">
        <v>22</v>
      </c>
      <c r="C96" s="15">
        <v>93.5</v>
      </c>
      <c r="D96" s="24">
        <v>111.7</v>
      </c>
      <c r="E96" s="4">
        <v>3</v>
      </c>
      <c r="F96" s="18">
        <v>0.06</v>
      </c>
      <c r="G96" s="15">
        <v>92.6</v>
      </c>
      <c r="H96" s="24">
        <v>111.7</v>
      </c>
      <c r="I96" s="4">
        <v>4</v>
      </c>
      <c r="J96" s="18">
        <v>0.1</v>
      </c>
      <c r="K96" s="15">
        <v>108.5</v>
      </c>
      <c r="L96" s="24">
        <v>118.2</v>
      </c>
      <c r="M96" s="4">
        <v>3</v>
      </c>
      <c r="N96" s="18">
        <v>0.01</v>
      </c>
      <c r="O96" s="15">
        <v>106.5</v>
      </c>
      <c r="P96" s="24">
        <v>118.2</v>
      </c>
      <c r="Q96" s="4">
        <v>4</v>
      </c>
      <c r="R96" s="18">
        <v>0.03</v>
      </c>
    </row>
    <row r="97" spans="1:18" ht="23.25" x14ac:dyDescent="0.7">
      <c r="A97" s="22" t="s">
        <v>94</v>
      </c>
      <c r="B97" s="20" t="s">
        <v>22</v>
      </c>
      <c r="C97" s="15">
        <v>94.7</v>
      </c>
      <c r="D97" s="24">
        <v>111.7</v>
      </c>
      <c r="E97" s="4">
        <v>3</v>
      </c>
      <c r="F97" s="18">
        <v>0.06</v>
      </c>
      <c r="G97" s="15">
        <v>93.4</v>
      </c>
      <c r="H97" s="24">
        <v>111.7</v>
      </c>
      <c r="I97" s="4">
        <v>6</v>
      </c>
      <c r="J97" s="18">
        <v>0.1</v>
      </c>
      <c r="K97" s="15">
        <v>93.6</v>
      </c>
      <c r="L97" s="24">
        <v>109.4</v>
      </c>
      <c r="M97" s="4">
        <v>4</v>
      </c>
      <c r="N97" s="18">
        <v>0.01</v>
      </c>
      <c r="O97" s="15">
        <v>99.9</v>
      </c>
      <c r="P97" s="24">
        <v>109.4</v>
      </c>
      <c r="Q97" s="4">
        <v>4</v>
      </c>
      <c r="R97" s="18">
        <v>0.01</v>
      </c>
    </row>
    <row r="98" spans="1:18" ht="23.25" x14ac:dyDescent="0.7">
      <c r="A98" s="22" t="s">
        <v>95</v>
      </c>
      <c r="B98" s="20" t="s">
        <v>22</v>
      </c>
      <c r="C98" s="15">
        <v>94.3</v>
      </c>
      <c r="D98" s="24">
        <v>111.7</v>
      </c>
      <c r="E98" s="4">
        <v>3</v>
      </c>
      <c r="F98" s="18">
        <v>0.06</v>
      </c>
      <c r="G98" s="15">
        <v>92.9</v>
      </c>
      <c r="H98" s="24">
        <v>111.7</v>
      </c>
      <c r="I98" s="4">
        <v>6</v>
      </c>
      <c r="J98" s="18">
        <v>0.1</v>
      </c>
      <c r="K98" s="15">
        <v>94.9</v>
      </c>
      <c r="L98" s="24">
        <v>109.4</v>
      </c>
      <c r="M98" s="4">
        <v>4</v>
      </c>
      <c r="N98" s="18">
        <v>0.01</v>
      </c>
      <c r="O98" s="15">
        <v>100.3</v>
      </c>
      <c r="P98" s="24">
        <v>109.4</v>
      </c>
      <c r="Q98" s="4">
        <v>4</v>
      </c>
      <c r="R98" s="18">
        <v>0.01</v>
      </c>
    </row>
    <row r="99" spans="1:18" ht="23.25" x14ac:dyDescent="0.7">
      <c r="A99" s="22" t="s">
        <v>96</v>
      </c>
      <c r="B99" s="20" t="s">
        <v>22</v>
      </c>
      <c r="C99" s="15">
        <v>96.7</v>
      </c>
      <c r="D99" s="24">
        <v>111.7</v>
      </c>
      <c r="E99" s="4">
        <v>3</v>
      </c>
      <c r="F99" s="18">
        <v>0.01</v>
      </c>
      <c r="G99" s="15">
        <v>92.7</v>
      </c>
      <c r="H99" s="24">
        <v>111.7</v>
      </c>
      <c r="I99" s="4">
        <v>5</v>
      </c>
      <c r="J99" s="18">
        <v>0.1</v>
      </c>
      <c r="K99" s="15">
        <v>94.4</v>
      </c>
      <c r="L99" s="24">
        <v>109.4</v>
      </c>
      <c r="M99" s="4">
        <v>4</v>
      </c>
      <c r="N99" s="18">
        <v>0.01</v>
      </c>
      <c r="O99" s="15">
        <v>99.5</v>
      </c>
      <c r="P99" s="24">
        <v>109.4</v>
      </c>
      <c r="Q99" s="4">
        <v>4</v>
      </c>
      <c r="R99" s="18">
        <v>0.01</v>
      </c>
    </row>
    <row r="100" spans="1:18" ht="23.25" x14ac:dyDescent="0.7">
      <c r="A100" s="21"/>
      <c r="B100" s="7" t="s">
        <v>23</v>
      </c>
      <c r="C100" s="15">
        <v>92.3</v>
      </c>
      <c r="D100" s="24">
        <v>97.9</v>
      </c>
      <c r="E100" s="4">
        <v>4</v>
      </c>
      <c r="F100" s="18">
        <v>0.02</v>
      </c>
      <c r="G100" s="15">
        <v>93.6</v>
      </c>
      <c r="H100" s="24">
        <v>97.9</v>
      </c>
      <c r="I100" s="4">
        <v>2</v>
      </c>
      <c r="J100" s="18">
        <v>0.01</v>
      </c>
      <c r="K100" s="15">
        <v>94.8</v>
      </c>
      <c r="L100" s="24">
        <v>98.9</v>
      </c>
      <c r="M100" s="4">
        <v>2</v>
      </c>
      <c r="N100" s="18">
        <v>0.01</v>
      </c>
      <c r="O100" s="15">
        <v>96.7</v>
      </c>
      <c r="P100" s="24">
        <v>98.9</v>
      </c>
      <c r="Q100" s="4">
        <v>2</v>
      </c>
      <c r="R100" s="18">
        <v>0.01</v>
      </c>
    </row>
    <row r="101" spans="1:18" ht="23.25" x14ac:dyDescent="0.7">
      <c r="A101" s="21" t="s">
        <v>93</v>
      </c>
      <c r="B101" s="7" t="s">
        <v>23</v>
      </c>
      <c r="C101" s="15">
        <v>91.1</v>
      </c>
      <c r="D101" s="24">
        <v>97.9</v>
      </c>
      <c r="E101" s="4">
        <v>4</v>
      </c>
      <c r="F101" s="18">
        <v>0.02</v>
      </c>
      <c r="G101" s="15">
        <v>94.8</v>
      </c>
      <c r="H101" s="24">
        <v>97.9</v>
      </c>
      <c r="I101" s="4">
        <v>2</v>
      </c>
      <c r="J101" s="18">
        <v>0.01</v>
      </c>
      <c r="K101" s="15">
        <v>95.6</v>
      </c>
      <c r="L101" s="24">
        <v>98.9</v>
      </c>
      <c r="M101" s="4">
        <v>2</v>
      </c>
      <c r="N101" s="18">
        <v>0.01</v>
      </c>
      <c r="O101" s="15">
        <v>98.3</v>
      </c>
      <c r="P101" s="24">
        <v>98.9</v>
      </c>
      <c r="Q101" s="4">
        <v>2</v>
      </c>
      <c r="R101" s="18">
        <v>0.01</v>
      </c>
    </row>
    <row r="102" spans="1:18" ht="23.25" x14ac:dyDescent="0.7">
      <c r="A102" s="21" t="s">
        <v>94</v>
      </c>
      <c r="B102" s="7" t="s">
        <v>23</v>
      </c>
      <c r="C102" s="15">
        <v>91.5</v>
      </c>
      <c r="D102" s="24">
        <v>97.9</v>
      </c>
      <c r="E102" s="4">
        <v>4</v>
      </c>
      <c r="F102" s="18">
        <v>0.02</v>
      </c>
      <c r="G102" s="15">
        <v>93.4</v>
      </c>
      <c r="H102" s="24">
        <v>97.9</v>
      </c>
      <c r="I102" s="4">
        <v>2</v>
      </c>
      <c r="J102" s="18">
        <v>0.01</v>
      </c>
      <c r="K102" s="15">
        <v>94.7</v>
      </c>
      <c r="L102" s="24">
        <v>98.9</v>
      </c>
      <c r="M102" s="4">
        <v>2</v>
      </c>
      <c r="N102" s="18">
        <v>0.01</v>
      </c>
      <c r="O102" s="15">
        <v>96.7</v>
      </c>
      <c r="P102" s="24">
        <v>98.9</v>
      </c>
      <c r="Q102" s="4">
        <v>2</v>
      </c>
      <c r="R102" s="18">
        <v>0.01</v>
      </c>
    </row>
    <row r="103" spans="1:18" ht="23.25" x14ac:dyDescent="0.7">
      <c r="A103" s="21" t="s">
        <v>95</v>
      </c>
      <c r="B103" s="7" t="s">
        <v>23</v>
      </c>
      <c r="C103" s="15">
        <v>93.1</v>
      </c>
      <c r="D103" s="24">
        <v>97.9</v>
      </c>
      <c r="E103" s="4">
        <v>4</v>
      </c>
      <c r="F103" s="18">
        <v>0.02</v>
      </c>
      <c r="G103" s="15">
        <v>95</v>
      </c>
      <c r="H103" s="24">
        <v>97.9</v>
      </c>
      <c r="I103" s="4">
        <v>2</v>
      </c>
      <c r="J103" s="18">
        <v>0.01</v>
      </c>
      <c r="K103" s="15">
        <v>96.2</v>
      </c>
      <c r="L103" s="24">
        <v>98.9</v>
      </c>
      <c r="M103" s="4">
        <v>2</v>
      </c>
      <c r="N103" s="18">
        <v>0.01</v>
      </c>
      <c r="O103" s="15">
        <v>97.2</v>
      </c>
      <c r="P103" s="24">
        <v>98.9</v>
      </c>
      <c r="Q103" s="4">
        <v>2</v>
      </c>
      <c r="R103" s="18">
        <v>0.01</v>
      </c>
    </row>
    <row r="104" spans="1:18" ht="23.25" x14ac:dyDescent="0.7">
      <c r="A104" s="21" t="s">
        <v>96</v>
      </c>
      <c r="B104" s="7" t="s">
        <v>23</v>
      </c>
      <c r="C104" s="15">
        <v>101.2</v>
      </c>
      <c r="D104" s="24">
        <v>111.6</v>
      </c>
      <c r="E104" s="4">
        <v>3</v>
      </c>
      <c r="F104" s="18">
        <v>0.02</v>
      </c>
      <c r="G104" s="15">
        <v>101.2</v>
      </c>
      <c r="H104" s="24">
        <v>111.6</v>
      </c>
      <c r="I104" s="4">
        <v>3</v>
      </c>
      <c r="J104" s="18">
        <v>0.02</v>
      </c>
      <c r="K104" s="15">
        <v>95.2</v>
      </c>
      <c r="L104" s="24">
        <v>98.9</v>
      </c>
      <c r="M104" s="4">
        <v>2</v>
      </c>
      <c r="N104" s="18">
        <v>0.01</v>
      </c>
      <c r="O104" s="15">
        <v>98.6</v>
      </c>
      <c r="P104" s="24">
        <v>98.9</v>
      </c>
      <c r="Q104" s="4">
        <v>2</v>
      </c>
      <c r="R104" s="18">
        <v>0.01</v>
      </c>
    </row>
    <row r="105" spans="1:18" ht="35.25" customHeight="1" x14ac:dyDescent="0.55000000000000004">
      <c r="B105" s="38" t="s">
        <v>121</v>
      </c>
      <c r="C105" s="39">
        <f>AVERAGE(C5:C104)</f>
        <v>87.022999999999996</v>
      </c>
      <c r="D105" s="39">
        <f>AVERAGE(D5:D104)</f>
        <v>99.698000000000008</v>
      </c>
      <c r="E105" s="39"/>
      <c r="F105" s="39"/>
      <c r="G105" s="39">
        <f>AVERAGE(G5:G104)</f>
        <v>90.592000000000027</v>
      </c>
      <c r="H105" s="39">
        <f>AVERAGE(H5:H104)</f>
        <v>99.7</v>
      </c>
      <c r="I105" s="39"/>
      <c r="J105" s="39"/>
      <c r="K105" s="39">
        <f>AVERAGE(K5:K104)</f>
        <v>89.345999999999989</v>
      </c>
      <c r="L105" s="39">
        <f>AVERAGE(L5:L104)</f>
        <v>97.525999999999954</v>
      </c>
      <c r="M105" s="39"/>
      <c r="N105" s="39"/>
      <c r="O105" s="39">
        <f>AVERAGE(O5:O104)</f>
        <v>92.842000000000027</v>
      </c>
      <c r="P105" s="39">
        <f>AVERAGE(P5:P104)</f>
        <v>96.484199999999959</v>
      </c>
    </row>
    <row r="107" spans="1:18" ht="18" x14ac:dyDescent="0.55000000000000004">
      <c r="B107" s="40" t="s">
        <v>131</v>
      </c>
      <c r="C107" s="39">
        <f>AVERAGE(C105,G105,K105,O105)</f>
        <v>89.950750000000014</v>
      </c>
    </row>
    <row r="108" spans="1:18" ht="21" x14ac:dyDescent="0.65">
      <c r="B108" s="40" t="s">
        <v>125</v>
      </c>
      <c r="C108" s="39">
        <f>(C107-$AX$25)/$AX$25</f>
        <v>0.13024753408305592</v>
      </c>
      <c r="D108" s="46">
        <f>C108</f>
        <v>0.13024753408305592</v>
      </c>
    </row>
    <row r="109" spans="1:18" ht="21" x14ac:dyDescent="0.65">
      <c r="B109" s="40"/>
      <c r="C109" s="39"/>
      <c r="D109" s="47"/>
    </row>
    <row r="110" spans="1:18" ht="21" x14ac:dyDescent="0.65">
      <c r="B110" s="41" t="s">
        <v>132</v>
      </c>
      <c r="C110" s="39">
        <f>AVERAGE(D105,H105,L105,P105)</f>
        <v>98.352049999999991</v>
      </c>
      <c r="D110" s="47"/>
    </row>
    <row r="111" spans="1:18" ht="21" x14ac:dyDescent="0.65">
      <c r="B111" s="41" t="s">
        <v>126</v>
      </c>
      <c r="C111" s="39">
        <f>(C110-AX25)/AX25</f>
        <v>0.23581139661996584</v>
      </c>
      <c r="D111" s="46">
        <f>C111</f>
        <v>0.23581139661996584</v>
      </c>
    </row>
    <row r="112" spans="1:18" ht="18" x14ac:dyDescent="0.55000000000000004">
      <c r="C112" s="39"/>
    </row>
    <row r="113" spans="2:4" ht="18" x14ac:dyDescent="0.55000000000000004">
      <c r="B113" s="40" t="s">
        <v>131</v>
      </c>
      <c r="C113" s="39">
        <f>C107</f>
        <v>89.950750000000014</v>
      </c>
    </row>
    <row r="114" spans="2:4" ht="18" x14ac:dyDescent="0.55000000000000004">
      <c r="B114" s="40" t="s">
        <v>133</v>
      </c>
      <c r="C114" s="39">
        <f>AVERAGE(D105,H105,L105,P105)</f>
        <v>98.352049999999991</v>
      </c>
    </row>
    <row r="115" spans="2:4" ht="21" x14ac:dyDescent="0.65">
      <c r="B115" s="40" t="s">
        <v>134</v>
      </c>
      <c r="C115" s="39">
        <f>(C114-C113)/C113</f>
        <v>9.3398887724671295E-2</v>
      </c>
      <c r="D115" s="46">
        <f>C115</f>
        <v>9.3398887724671295E-2</v>
      </c>
    </row>
  </sheetData>
  <mergeCells count="22">
    <mergeCell ref="AO3:AT3"/>
    <mergeCell ref="U1:V4"/>
    <mergeCell ref="W1:AH1"/>
    <mergeCell ref="AI1:AT1"/>
    <mergeCell ref="W2:AH2"/>
    <mergeCell ref="AI2:AT2"/>
    <mergeCell ref="AW2:AW4"/>
    <mergeCell ref="AX2:BB2"/>
    <mergeCell ref="AX3:BB3"/>
    <mergeCell ref="A1:A4"/>
    <mergeCell ref="B1:B4"/>
    <mergeCell ref="C1:R1"/>
    <mergeCell ref="C2:J2"/>
    <mergeCell ref="K2:R2"/>
    <mergeCell ref="C3:F3"/>
    <mergeCell ref="G3:J3"/>
    <mergeCell ref="K3:N3"/>
    <mergeCell ref="O3:R3"/>
    <mergeCell ref="AV2:AV4"/>
    <mergeCell ref="W3:AB3"/>
    <mergeCell ref="AC3:AH3"/>
    <mergeCell ref="AI3:AN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12-custexactplots</vt:lpstr>
      <vt:lpstr>Agatz12custplots</vt:lpstr>
      <vt:lpstr>ImpactofRecourseAnalysisfv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Kurt</dc:creator>
  <cp:lastModifiedBy>Mehmet Kurt</cp:lastModifiedBy>
  <cp:lastPrinted>2023-01-03T20:27:33Z</cp:lastPrinted>
  <dcterms:created xsi:type="dcterms:W3CDTF">2022-05-04T17:39:51Z</dcterms:created>
  <dcterms:modified xsi:type="dcterms:W3CDTF">2026-10-25T00:13:43Z</dcterms:modified>
</cp:coreProperties>
</file>