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ocuments\recourse model\Meeting 2024\Feb21st2024\"/>
    </mc:Choice>
  </mc:AlternateContent>
  <xr:revisionPtr revIDLastSave="0" documentId="13_ncr:1_{F22F54A3-CA14-46D9-8946-128FF5E00BB0}" xr6:coauthVersionLast="47" xr6:coauthVersionMax="47" xr10:uidLastSave="{00000000-0000-0000-0000-000000000000}"/>
  <bookViews>
    <workbookView xWindow="28605" yWindow="-195" windowWidth="29190" windowHeight="15870" tabRatio="920" activeTab="4" xr2:uid="{00000000-000D-0000-FFFF-FFFF00000000}"/>
  </bookViews>
  <sheets>
    <sheet name="12custPerfectResults" sheetId="102" r:id="rId1"/>
    <sheet name="NOPERRECvsPERREC(makespan)" sheetId="96" r:id="rId2"/>
    <sheet name="NOPERRECvsPERREC(drone)" sheetId="98" r:id="rId3"/>
    <sheet name="NOPERNORECvsPERREC(makespan)" sheetId="100" r:id="rId4"/>
    <sheet name="NOPERNORECvsPERREC(drone)" sheetId="101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8" l="1"/>
  <c r="G3" i="98"/>
  <c r="G3" i="100"/>
  <c r="G5" i="100" s="1"/>
  <c r="G2" i="100"/>
  <c r="H3" i="101"/>
  <c r="H2" i="101"/>
  <c r="H5" i="101" s="1"/>
  <c r="G3" i="96"/>
  <c r="G2" i="96"/>
  <c r="G5" i="96" s="1"/>
  <c r="G5" i="98" l="1"/>
</calcChain>
</file>

<file path=xl/sharedStrings.xml><?xml version="1.0" encoding="utf-8"?>
<sst xmlns="http://schemas.openxmlformats.org/spreadsheetml/2006/main" count="88" uniqueCount="56">
  <si>
    <t>disdur30</t>
  </si>
  <si>
    <t>disdur60</t>
  </si>
  <si>
    <t>PERCENT</t>
  </si>
  <si>
    <t>ON AVERAG, PERFECT RECOURSE IS 7.6 PERCENT BETTER THAN NO PERFECT RECOURSE</t>
  </si>
  <si>
    <t>START15-RECOURSENOP</t>
  </si>
  <si>
    <t>START30-RECOURSENOP</t>
  </si>
  <si>
    <t>START15-RECOURSEP</t>
  </si>
  <si>
    <t>START30-RECOURSEP</t>
  </si>
  <si>
    <t>AVG NOPERRECOURSE</t>
  </si>
  <si>
    <t>AVG PER RECOURSE</t>
  </si>
  <si>
    <t>START15-NORECOURSENOP</t>
  </si>
  <si>
    <t>START30-NORECOURSENOP</t>
  </si>
  <si>
    <t>START15RECOURSENOP</t>
  </si>
  <si>
    <t>START30RECOURSENOP</t>
  </si>
  <si>
    <t>START15RECOURSEP</t>
  </si>
  <si>
    <t>START30RECOURSEP</t>
  </si>
  <si>
    <t>START15NORECOURSENOP</t>
  </si>
  <si>
    <t>START30NORECOURSENOP</t>
  </si>
  <si>
    <t>IN TERMS OF NUMBER OF DRONE CUSTOMERS</t>
  </si>
  <si>
    <t>AVG NOPERNORECOURSE</t>
  </si>
  <si>
    <t xml:space="preserve"> WITH PERFECT INFO (EXACT)</t>
  </si>
  <si>
    <t>DISRUPTION START TIME = 15</t>
  </si>
  <si>
    <t>DISRUPTION START TIME = 30</t>
  </si>
  <si>
    <t>DISRUPTION DURATION = 30</t>
  </si>
  <si>
    <t>DISRUPTION DURATION = 60</t>
  </si>
  <si>
    <t xml:space="preserve">OBJ. FUNC. </t>
  </si>
  <si>
    <t>OBJ. FUNC. (TRUCK ONLY)</t>
  </si>
  <si>
    <t xml:space="preserve"># OF DRONE CUST. </t>
  </si>
  <si>
    <t xml:space="preserve"> TRUCK WAITING TIME (min)</t>
  </si>
  <si>
    <t>COMP. TIME (sec)</t>
  </si>
  <si>
    <t xml:space="preserve">COMP. TIME (sec) </t>
  </si>
  <si>
    <t>12-cust (v51)</t>
  </si>
  <si>
    <t>1117.3s</t>
  </si>
  <si>
    <t>158.3s</t>
  </si>
  <si>
    <t>12-cust (v52)</t>
  </si>
  <si>
    <t>12-cust (v53)</t>
  </si>
  <si>
    <t>12-cust (v54)</t>
  </si>
  <si>
    <t>12-cust (v55)</t>
  </si>
  <si>
    <t>12-cust (v56)</t>
  </si>
  <si>
    <t>12-cust (v57)</t>
  </si>
  <si>
    <t>12-cust (v58)</t>
  </si>
  <si>
    <t>12-cust (v59)</t>
  </si>
  <si>
    <t>12-cust (v60)</t>
  </si>
  <si>
    <t>12-cust (v70)</t>
  </si>
  <si>
    <t>12-cust (v71)</t>
  </si>
  <si>
    <t>12-cust (v72)</t>
  </si>
  <si>
    <t>12-cust (v73)</t>
  </si>
  <si>
    <t>12-cust (v74)</t>
  </si>
  <si>
    <t>12-cust (v75)</t>
  </si>
  <si>
    <t>12-cust (v76)</t>
  </si>
  <si>
    <t>12-cust (v77)</t>
  </si>
  <si>
    <t>12-cust (v78)</t>
  </si>
  <si>
    <t>12-cust (v79)</t>
  </si>
  <si>
    <t>ON AVERAGE, PERFECT RECOURSE IS 19.9 PERCENT BETTER THAN NO PERFECT NO RECOURSE</t>
  </si>
  <si>
    <t xml:space="preserve">ON AVERAGE, PERFECT RECOURSE IS 4.5 PERCENT BETTER THAN NO PERFECT RECOURSE </t>
  </si>
  <si>
    <t xml:space="preserve">ON AVERAGE, PERFECT RECOURSE IS 143 PERCENT BETTER THAN NO PERFECT NO RECOURSE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</si>
</sst>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66FF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66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18" fillId="33" borderId="10" xfId="0" applyFont="1" applyFill="1" applyBorder="1" applyAlignment="1">
      <alignment horizontal="right"/>
    </xf>
    <xf numFmtId="0" fontId="18" fillId="34" borderId="10" xfId="0" applyFont="1" applyFill="1" applyBorder="1" applyAlignment="1">
      <alignment horizontal="right"/>
    </xf>
    <xf numFmtId="0" fontId="19" fillId="0" borderId="0" xfId="0" applyFont="1"/>
    <xf numFmtId="0" fontId="20" fillId="0" borderId="0" xfId="0" applyFont="1" applyAlignment="1">
      <alignment vertical="top" wrapText="1"/>
    </xf>
    <xf numFmtId="0" fontId="23" fillId="33" borderId="10" xfId="0" applyFont="1" applyFill="1" applyBorder="1" applyAlignment="1">
      <alignment horizontal="center" vertical="center" wrapText="1"/>
    </xf>
    <xf numFmtId="0" fontId="23" fillId="34" borderId="10" xfId="0" applyFont="1" applyFill="1" applyBorder="1" applyAlignment="1">
      <alignment horizontal="center" wrapText="1"/>
    </xf>
    <xf numFmtId="0" fontId="23" fillId="38" borderId="10" xfId="0" applyFont="1" applyFill="1" applyBorder="1" applyAlignment="1">
      <alignment horizontal="center" wrapText="1"/>
    </xf>
    <xf numFmtId="0" fontId="23" fillId="39" borderId="10" xfId="0" applyFont="1" applyFill="1" applyBorder="1" applyAlignment="1">
      <alignment horizontal="center" wrapText="1"/>
    </xf>
    <xf numFmtId="0" fontId="23" fillId="40" borderId="10" xfId="0" applyFont="1" applyFill="1" applyBorder="1" applyAlignment="1">
      <alignment horizontal="center" wrapText="1"/>
    </xf>
    <xf numFmtId="0" fontId="23" fillId="33" borderId="10" xfId="0" applyFont="1" applyFill="1" applyBorder="1" applyAlignment="1">
      <alignment horizontal="center" wrapText="1"/>
    </xf>
    <xf numFmtId="0" fontId="24" fillId="0" borderId="10" xfId="0" applyFont="1" applyBorder="1"/>
    <xf numFmtId="0" fontId="23" fillId="41" borderId="10" xfId="0" applyFont="1" applyFill="1" applyBorder="1" applyAlignment="1">
      <alignment horizontal="center" vertical="center" wrapText="1"/>
    </xf>
    <xf numFmtId="0" fontId="18" fillId="38" borderId="10" xfId="0" applyFont="1" applyFill="1" applyBorder="1" applyAlignment="1">
      <alignment horizontal="right"/>
    </xf>
    <xf numFmtId="0" fontId="18" fillId="39" borderId="10" xfId="0" applyFont="1" applyFill="1" applyBorder="1" applyAlignment="1">
      <alignment horizontal="right"/>
    </xf>
    <xf numFmtId="0" fontId="25" fillId="40" borderId="10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21" fillId="0" borderId="10" xfId="0" applyFont="1" applyBorder="1" applyAlignment="1">
      <alignment horizontal="center" vertical="center" wrapText="1"/>
    </xf>
    <xf numFmtId="0" fontId="22" fillId="35" borderId="11" xfId="0" applyFont="1" applyFill="1" applyBorder="1" applyAlignment="1">
      <alignment horizontal="center"/>
    </xf>
    <xf numFmtId="0" fontId="22" fillId="35" borderId="12" xfId="0" applyFont="1" applyFill="1" applyBorder="1" applyAlignment="1">
      <alignment horizontal="center"/>
    </xf>
    <xf numFmtId="0" fontId="22" fillId="35" borderId="13" xfId="0" applyFont="1" applyFill="1" applyBorder="1" applyAlignment="1">
      <alignment horizontal="center"/>
    </xf>
    <xf numFmtId="0" fontId="18" fillId="36" borderId="11" xfId="0" applyFont="1" applyFill="1" applyBorder="1" applyAlignment="1">
      <alignment horizontal="center"/>
    </xf>
    <xf numFmtId="0" fontId="18" fillId="36" borderId="12" xfId="0" applyFont="1" applyFill="1" applyBorder="1" applyAlignment="1">
      <alignment horizontal="center"/>
    </xf>
    <xf numFmtId="0" fontId="18" fillId="36" borderId="13" xfId="0" applyFont="1" applyFill="1" applyBorder="1" applyAlignment="1">
      <alignment horizontal="center"/>
    </xf>
    <xf numFmtId="0" fontId="18" fillId="37" borderId="11" xfId="0" applyFont="1" applyFill="1" applyBorder="1" applyAlignment="1">
      <alignment horizontal="center"/>
    </xf>
    <xf numFmtId="0" fontId="18" fillId="37" borderId="12" xfId="0" applyFont="1" applyFill="1" applyBorder="1" applyAlignment="1">
      <alignment horizontal="center"/>
    </xf>
    <xf numFmtId="0" fontId="18" fillId="37" borderId="13" xfId="0" applyFont="1" applyFill="1" applyBorder="1" applyAlignment="1">
      <alignment horizontal="center"/>
    </xf>
    <xf numFmtId="0" fontId="16" fillId="0" borderId="0" xfId="0" applyFont="1"/>
    <xf numFmtId="164" fontId="16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644D9-53A7-41DD-8B8E-D38C6644A488}">
  <dimension ref="A1:AA25"/>
  <sheetViews>
    <sheetView zoomScale="55" zoomScaleNormal="55" workbookViewId="0">
      <selection activeCell="D10" sqref="D10"/>
    </sheetView>
  </sheetViews>
  <sheetFormatPr defaultRowHeight="14.25" x14ac:dyDescent="0.45"/>
  <cols>
    <col min="1" max="1" width="4.86328125" customWidth="1"/>
    <col min="2" max="2" width="11.265625" customWidth="1"/>
    <col min="3" max="3" width="11.3984375" customWidth="1"/>
    <col min="4" max="4" width="14.1328125" customWidth="1"/>
    <col min="5" max="5" width="11.1328125" customWidth="1"/>
    <col min="6" max="6" width="12.265625" customWidth="1"/>
    <col min="7" max="7" width="14.265625" customWidth="1"/>
    <col min="8" max="12" width="14.59765625" customWidth="1"/>
    <col min="13" max="14" width="14.1328125" customWidth="1"/>
    <col min="15" max="15" width="11.1328125" customWidth="1"/>
    <col min="16" max="16" width="12.265625" customWidth="1"/>
    <col min="17" max="17" width="14.265625" customWidth="1"/>
    <col min="18" max="18" width="11.3984375" bestFit="1" customWidth="1"/>
    <col min="19" max="19" width="14.59765625" customWidth="1"/>
    <col min="20" max="20" width="11.265625" customWidth="1"/>
    <col min="21" max="22" width="14.59765625" customWidth="1"/>
  </cols>
  <sheetData>
    <row r="1" spans="1:22" ht="22.5" customHeight="1" x14ac:dyDescent="0.7">
      <c r="A1" s="17"/>
      <c r="B1" s="17"/>
      <c r="C1" s="18" t="s">
        <v>20</v>
      </c>
      <c r="D1" s="19"/>
      <c r="E1" s="19"/>
      <c r="F1" s="19"/>
      <c r="G1" s="19"/>
      <c r="H1" s="19"/>
      <c r="I1" s="19"/>
      <c r="J1" s="19"/>
      <c r="K1" s="19"/>
      <c r="L1" s="20"/>
      <c r="M1" s="18" t="s">
        <v>20</v>
      </c>
      <c r="N1" s="19"/>
      <c r="O1" s="19"/>
      <c r="P1" s="19"/>
      <c r="Q1" s="19"/>
      <c r="R1" s="19"/>
      <c r="S1" s="19"/>
      <c r="T1" s="19"/>
      <c r="U1" s="19"/>
      <c r="V1" s="20"/>
    </row>
    <row r="2" spans="1:22" ht="22.5" customHeight="1" x14ac:dyDescent="0.7">
      <c r="A2" s="17"/>
      <c r="B2" s="17"/>
      <c r="C2" s="21" t="s">
        <v>21</v>
      </c>
      <c r="D2" s="22"/>
      <c r="E2" s="22"/>
      <c r="F2" s="22"/>
      <c r="G2" s="22"/>
      <c r="H2" s="22"/>
      <c r="I2" s="22"/>
      <c r="J2" s="22"/>
      <c r="K2" s="22"/>
      <c r="L2" s="23"/>
      <c r="M2" s="21" t="s">
        <v>22</v>
      </c>
      <c r="N2" s="22"/>
      <c r="O2" s="22"/>
      <c r="P2" s="22"/>
      <c r="Q2" s="22"/>
      <c r="R2" s="22"/>
      <c r="S2" s="22"/>
      <c r="T2" s="22"/>
      <c r="U2" s="22"/>
      <c r="V2" s="23"/>
    </row>
    <row r="3" spans="1:22" ht="22.5" customHeight="1" x14ac:dyDescent="0.7">
      <c r="A3" s="17"/>
      <c r="B3" s="17"/>
      <c r="C3" s="18" t="s">
        <v>23</v>
      </c>
      <c r="D3" s="19"/>
      <c r="E3" s="19"/>
      <c r="F3" s="19"/>
      <c r="G3" s="20"/>
      <c r="H3" s="24" t="s">
        <v>24</v>
      </c>
      <c r="I3" s="25"/>
      <c r="J3" s="25"/>
      <c r="K3" s="25"/>
      <c r="L3" s="26"/>
      <c r="M3" s="18" t="s">
        <v>23</v>
      </c>
      <c r="N3" s="19"/>
      <c r="O3" s="19"/>
      <c r="P3" s="19"/>
      <c r="Q3" s="20"/>
      <c r="R3" s="24" t="s">
        <v>24</v>
      </c>
      <c r="S3" s="25"/>
      <c r="T3" s="25"/>
      <c r="U3" s="25"/>
      <c r="V3" s="26"/>
    </row>
    <row r="4" spans="1:22" ht="63.75" customHeight="1" x14ac:dyDescent="0.5">
      <c r="A4" s="17"/>
      <c r="B4" s="17"/>
      <c r="C4" s="5" t="s">
        <v>25</v>
      </c>
      <c r="D4" s="6" t="s">
        <v>26</v>
      </c>
      <c r="E4" s="7" t="s">
        <v>27</v>
      </c>
      <c r="F4" s="8" t="s">
        <v>28</v>
      </c>
      <c r="G4" s="9" t="s">
        <v>29</v>
      </c>
      <c r="H4" s="10" t="s">
        <v>25</v>
      </c>
      <c r="I4" s="6" t="s">
        <v>26</v>
      </c>
      <c r="J4" s="7" t="s">
        <v>27</v>
      </c>
      <c r="K4" s="8" t="s">
        <v>28</v>
      </c>
      <c r="L4" s="9" t="s">
        <v>29</v>
      </c>
      <c r="M4" s="5" t="s">
        <v>25</v>
      </c>
      <c r="N4" s="6" t="s">
        <v>26</v>
      </c>
      <c r="O4" s="7" t="s">
        <v>27</v>
      </c>
      <c r="P4" s="8" t="s">
        <v>28</v>
      </c>
      <c r="Q4" s="9" t="s">
        <v>29</v>
      </c>
      <c r="R4" s="10" t="s">
        <v>25</v>
      </c>
      <c r="S4" s="6" t="s">
        <v>26</v>
      </c>
      <c r="T4" s="7" t="s">
        <v>27</v>
      </c>
      <c r="U4" s="8" t="s">
        <v>28</v>
      </c>
      <c r="V4" s="9" t="s">
        <v>30</v>
      </c>
    </row>
    <row r="5" spans="1:22" ht="30.75" customHeight="1" x14ac:dyDescent="0.7">
      <c r="A5" s="11">
        <v>1</v>
      </c>
      <c r="B5" s="12" t="s">
        <v>31</v>
      </c>
      <c r="C5" s="1">
        <v>78.8</v>
      </c>
      <c r="D5" s="2">
        <v>105.5</v>
      </c>
      <c r="E5" s="13">
        <v>4</v>
      </c>
      <c r="F5" s="14">
        <v>0.36</v>
      </c>
      <c r="G5" s="15">
        <v>293.3</v>
      </c>
      <c r="H5" s="1">
        <v>84.3</v>
      </c>
      <c r="I5" s="2">
        <v>105.5</v>
      </c>
      <c r="J5" s="13">
        <v>4</v>
      </c>
      <c r="K5" s="14">
        <v>5.9</v>
      </c>
      <c r="L5" s="15" t="s">
        <v>32</v>
      </c>
      <c r="M5" s="1">
        <v>78.8</v>
      </c>
      <c r="N5" s="2">
        <v>93.7</v>
      </c>
      <c r="O5" s="13">
        <v>4</v>
      </c>
      <c r="P5" s="14">
        <v>0.36</v>
      </c>
      <c r="Q5" s="15" t="s">
        <v>33</v>
      </c>
      <c r="R5" s="1">
        <v>78.7</v>
      </c>
      <c r="S5" s="2">
        <v>93.7</v>
      </c>
      <c r="T5" s="13">
        <v>4</v>
      </c>
      <c r="U5" s="14">
        <v>3.1</v>
      </c>
      <c r="V5" s="15">
        <v>604</v>
      </c>
    </row>
    <row r="6" spans="1:22" ht="30.75" customHeight="1" x14ac:dyDescent="0.7">
      <c r="A6" s="11">
        <v>2</v>
      </c>
      <c r="B6" s="12" t="s">
        <v>34</v>
      </c>
      <c r="C6" s="1">
        <v>69</v>
      </c>
      <c r="D6" s="2">
        <v>85.2</v>
      </c>
      <c r="E6" s="13">
        <v>4</v>
      </c>
      <c r="F6" s="14">
        <v>2.8</v>
      </c>
      <c r="G6" s="15">
        <v>126.5</v>
      </c>
      <c r="H6" s="1">
        <v>69.599999999999994</v>
      </c>
      <c r="I6" s="2">
        <v>85.2</v>
      </c>
      <c r="J6" s="13">
        <v>4</v>
      </c>
      <c r="K6" s="14">
        <v>2.2999999999999998</v>
      </c>
      <c r="L6" s="15">
        <v>163.69999999999999</v>
      </c>
      <c r="M6" s="1">
        <v>70.8</v>
      </c>
      <c r="N6" s="2">
        <v>76.3</v>
      </c>
      <c r="O6" s="13">
        <v>3</v>
      </c>
      <c r="P6" s="14">
        <v>0</v>
      </c>
      <c r="Q6" s="15">
        <v>1837.7</v>
      </c>
      <c r="R6" s="1">
        <v>73.7</v>
      </c>
      <c r="S6" s="2">
        <v>76.3</v>
      </c>
      <c r="T6" s="13">
        <v>4</v>
      </c>
      <c r="U6" s="14">
        <v>1</v>
      </c>
      <c r="V6" s="15">
        <v>1008.2</v>
      </c>
    </row>
    <row r="7" spans="1:22" ht="30.75" customHeight="1" x14ac:dyDescent="0.7">
      <c r="A7" s="11">
        <v>3</v>
      </c>
      <c r="B7" s="12" t="s">
        <v>35</v>
      </c>
      <c r="C7" s="1">
        <v>76.2</v>
      </c>
      <c r="D7" s="2">
        <v>93.2</v>
      </c>
      <c r="E7" s="13">
        <v>4</v>
      </c>
      <c r="F7" s="14">
        <v>0.1</v>
      </c>
      <c r="G7" s="15">
        <v>259.3</v>
      </c>
      <c r="H7" s="1">
        <v>79</v>
      </c>
      <c r="I7" s="2">
        <v>93.2</v>
      </c>
      <c r="J7" s="13">
        <v>4</v>
      </c>
      <c r="K7" s="14">
        <v>2</v>
      </c>
      <c r="L7" s="15">
        <v>659.6</v>
      </c>
      <c r="M7" s="1">
        <v>76.099999999999994</v>
      </c>
      <c r="N7" s="2">
        <v>86.4</v>
      </c>
      <c r="O7" s="13">
        <v>4</v>
      </c>
      <c r="P7" s="14">
        <v>0</v>
      </c>
      <c r="Q7" s="15">
        <v>1323.9</v>
      </c>
      <c r="R7" s="1">
        <v>76.099999999999994</v>
      </c>
      <c r="S7" s="2">
        <v>86.4</v>
      </c>
      <c r="T7" s="13">
        <v>4</v>
      </c>
      <c r="U7" s="14">
        <v>0</v>
      </c>
      <c r="V7" s="15">
        <v>496.6</v>
      </c>
    </row>
    <row r="8" spans="1:22" ht="30.75" customHeight="1" x14ac:dyDescent="0.7">
      <c r="A8" s="11">
        <v>4</v>
      </c>
      <c r="B8" s="12" t="s">
        <v>36</v>
      </c>
      <c r="C8" s="1">
        <v>96.4</v>
      </c>
      <c r="D8" s="2">
        <v>100</v>
      </c>
      <c r="E8" s="13">
        <v>4</v>
      </c>
      <c r="F8" s="14">
        <v>1.1000000000000001</v>
      </c>
      <c r="G8" s="15">
        <v>267</v>
      </c>
      <c r="H8" s="1">
        <v>95.8</v>
      </c>
      <c r="I8" s="2">
        <v>100</v>
      </c>
      <c r="J8" s="13">
        <v>3</v>
      </c>
      <c r="K8" s="14">
        <v>2.6</v>
      </c>
      <c r="L8" s="15">
        <v>351.7</v>
      </c>
      <c r="M8" s="1">
        <v>95.8</v>
      </c>
      <c r="N8" s="2">
        <v>100</v>
      </c>
      <c r="O8" s="13">
        <v>3</v>
      </c>
      <c r="P8" s="14">
        <v>2.6</v>
      </c>
      <c r="Q8" s="15">
        <v>383.7</v>
      </c>
      <c r="R8" s="1">
        <v>98.2</v>
      </c>
      <c r="S8" s="2">
        <v>100</v>
      </c>
      <c r="T8" s="13">
        <v>2</v>
      </c>
      <c r="U8" s="14">
        <v>2.6</v>
      </c>
      <c r="V8" s="15">
        <v>1085.5999999999999</v>
      </c>
    </row>
    <row r="9" spans="1:22" ht="30.75" customHeight="1" x14ac:dyDescent="0.7">
      <c r="A9" s="11">
        <v>5</v>
      </c>
      <c r="B9" s="12" t="s">
        <v>37</v>
      </c>
      <c r="C9" s="1">
        <v>72.3</v>
      </c>
      <c r="D9" s="2">
        <v>84.7</v>
      </c>
      <c r="E9" s="13">
        <v>3</v>
      </c>
      <c r="F9" s="14">
        <v>0</v>
      </c>
      <c r="G9" s="15">
        <v>253.9</v>
      </c>
      <c r="H9" s="1">
        <v>72.7</v>
      </c>
      <c r="I9" s="2">
        <v>84.7</v>
      </c>
      <c r="J9" s="13">
        <v>3</v>
      </c>
      <c r="K9" s="14">
        <v>0</v>
      </c>
      <c r="L9" s="15">
        <v>139.6</v>
      </c>
      <c r="M9" s="1">
        <v>72.400000000000006</v>
      </c>
      <c r="N9" s="2">
        <v>73.2</v>
      </c>
      <c r="O9" s="13">
        <v>4</v>
      </c>
      <c r="P9" s="14">
        <v>3.5</v>
      </c>
      <c r="Q9" s="15">
        <v>381.2</v>
      </c>
      <c r="R9" s="1">
        <v>73.2</v>
      </c>
      <c r="S9" s="2">
        <v>73.2</v>
      </c>
      <c r="T9" s="13">
        <v>2</v>
      </c>
      <c r="U9" s="14">
        <v>0</v>
      </c>
      <c r="V9" s="15">
        <v>1325.5</v>
      </c>
    </row>
    <row r="10" spans="1:22" ht="30.75" customHeight="1" x14ac:dyDescent="0.7">
      <c r="A10" s="11">
        <v>6</v>
      </c>
      <c r="B10" s="12" t="s">
        <v>38</v>
      </c>
      <c r="C10" s="1">
        <v>67.599999999999994</v>
      </c>
      <c r="D10" s="2">
        <v>72.400000000000006</v>
      </c>
      <c r="E10" s="13">
        <v>4</v>
      </c>
      <c r="F10" s="14">
        <v>0</v>
      </c>
      <c r="G10" s="15">
        <v>116.5</v>
      </c>
      <c r="H10" s="1">
        <v>69.599999999999994</v>
      </c>
      <c r="I10" s="2">
        <v>72.400000000000006</v>
      </c>
      <c r="J10" s="13">
        <v>3</v>
      </c>
      <c r="K10" s="14">
        <v>0</v>
      </c>
      <c r="L10" s="15">
        <v>267.5</v>
      </c>
      <c r="M10" s="1">
        <v>69.599999999999994</v>
      </c>
      <c r="N10" s="2">
        <v>71.099999999999994</v>
      </c>
      <c r="O10" s="13">
        <v>3</v>
      </c>
      <c r="P10" s="14">
        <v>0</v>
      </c>
      <c r="Q10" s="15">
        <v>388.5</v>
      </c>
      <c r="R10" s="1">
        <v>67.900000000000006</v>
      </c>
      <c r="S10" s="2">
        <v>71.099999999999994</v>
      </c>
      <c r="T10" s="13">
        <v>4</v>
      </c>
      <c r="U10" s="14">
        <v>0.3</v>
      </c>
      <c r="V10" s="15">
        <v>162.5</v>
      </c>
    </row>
    <row r="11" spans="1:22" ht="30.75" customHeight="1" x14ac:dyDescent="0.7">
      <c r="A11" s="11">
        <v>7</v>
      </c>
      <c r="B11" s="12" t="s">
        <v>39</v>
      </c>
      <c r="C11" s="1">
        <v>80</v>
      </c>
      <c r="D11" s="2">
        <v>103.6</v>
      </c>
      <c r="E11" s="13">
        <v>4</v>
      </c>
      <c r="F11" s="14">
        <v>1.5</v>
      </c>
      <c r="G11" s="15">
        <v>281.7</v>
      </c>
      <c r="H11" s="1">
        <v>81.7</v>
      </c>
      <c r="I11" s="2">
        <v>103.6</v>
      </c>
      <c r="J11" s="13">
        <v>3</v>
      </c>
      <c r="K11" s="14">
        <v>5.5</v>
      </c>
      <c r="L11" s="15">
        <v>154.19999999999999</v>
      </c>
      <c r="M11" s="1">
        <v>81.7</v>
      </c>
      <c r="N11" s="2">
        <v>96.1</v>
      </c>
      <c r="O11" s="13">
        <v>3</v>
      </c>
      <c r="P11" s="14">
        <v>5.5</v>
      </c>
      <c r="Q11" s="15">
        <v>588.1</v>
      </c>
      <c r="R11" s="1">
        <v>81.900000000000006</v>
      </c>
      <c r="S11" s="2">
        <v>96.1</v>
      </c>
      <c r="T11" s="13">
        <v>4</v>
      </c>
      <c r="U11" s="14">
        <v>3.5</v>
      </c>
      <c r="V11" s="15">
        <v>330.3</v>
      </c>
    </row>
    <row r="12" spans="1:22" ht="30.75" customHeight="1" x14ac:dyDescent="0.7">
      <c r="A12" s="11">
        <v>8</v>
      </c>
      <c r="B12" s="12" t="s">
        <v>40</v>
      </c>
      <c r="C12" s="1">
        <v>89.7</v>
      </c>
      <c r="D12" s="2">
        <v>95.7</v>
      </c>
      <c r="E12" s="13">
        <v>2</v>
      </c>
      <c r="F12" s="14">
        <v>0</v>
      </c>
      <c r="G12" s="15">
        <v>48.5</v>
      </c>
      <c r="H12" s="1">
        <v>92.8</v>
      </c>
      <c r="I12" s="2">
        <v>95.7</v>
      </c>
      <c r="J12" s="13">
        <v>2</v>
      </c>
      <c r="K12" s="14">
        <v>0.6</v>
      </c>
      <c r="L12" s="15">
        <v>127.9</v>
      </c>
      <c r="M12" s="1">
        <v>92.8</v>
      </c>
      <c r="N12" s="2">
        <v>94.2</v>
      </c>
      <c r="O12" s="13">
        <v>2</v>
      </c>
      <c r="P12" s="14">
        <v>0.6</v>
      </c>
      <c r="Q12" s="15">
        <v>97.7</v>
      </c>
      <c r="R12" s="1">
        <v>89.7</v>
      </c>
      <c r="S12" s="2">
        <v>94.2</v>
      </c>
      <c r="T12" s="13">
        <v>2</v>
      </c>
      <c r="U12" s="14">
        <v>0</v>
      </c>
      <c r="V12" s="15">
        <v>59.7</v>
      </c>
    </row>
    <row r="13" spans="1:22" ht="30.75" customHeight="1" x14ac:dyDescent="0.7">
      <c r="A13" s="11">
        <v>9</v>
      </c>
      <c r="B13" s="12" t="s">
        <v>41</v>
      </c>
      <c r="C13" s="1">
        <v>64.5</v>
      </c>
      <c r="D13" s="2">
        <v>71.8</v>
      </c>
      <c r="E13" s="13">
        <v>4</v>
      </c>
      <c r="F13" s="14">
        <v>1.5</v>
      </c>
      <c r="G13" s="15">
        <v>203.9</v>
      </c>
      <c r="H13" s="1">
        <v>65.5</v>
      </c>
      <c r="I13" s="2">
        <v>71.8</v>
      </c>
      <c r="J13" s="13">
        <v>4</v>
      </c>
      <c r="K13" s="14">
        <v>1.8</v>
      </c>
      <c r="L13" s="15">
        <v>118.1</v>
      </c>
      <c r="M13" s="1">
        <v>67.099999999999994</v>
      </c>
      <c r="N13" s="2">
        <v>68.099999999999994</v>
      </c>
      <c r="O13" s="13">
        <v>3</v>
      </c>
      <c r="P13" s="14">
        <v>0</v>
      </c>
      <c r="Q13" s="15">
        <v>417.6</v>
      </c>
      <c r="R13" s="1">
        <v>65.5</v>
      </c>
      <c r="S13" s="2">
        <v>68.099999999999994</v>
      </c>
      <c r="T13" s="13">
        <v>4</v>
      </c>
      <c r="U13" s="14">
        <v>2.5</v>
      </c>
      <c r="V13" s="15">
        <v>207.6</v>
      </c>
    </row>
    <row r="14" spans="1:22" ht="30.75" customHeight="1" x14ac:dyDescent="0.7">
      <c r="A14" s="11">
        <v>10</v>
      </c>
      <c r="B14" s="12" t="s">
        <v>42</v>
      </c>
      <c r="C14" s="1">
        <v>76.099999999999994</v>
      </c>
      <c r="D14" s="2">
        <v>93.2</v>
      </c>
      <c r="E14" s="13">
        <v>5</v>
      </c>
      <c r="F14" s="14">
        <v>0</v>
      </c>
      <c r="G14" s="15">
        <v>598.1</v>
      </c>
      <c r="H14" s="1">
        <v>81.3</v>
      </c>
      <c r="I14" s="2">
        <v>93.2</v>
      </c>
      <c r="J14" s="13">
        <v>5</v>
      </c>
      <c r="K14" s="14">
        <v>2.1</v>
      </c>
      <c r="L14" s="15">
        <v>6376.7</v>
      </c>
      <c r="M14" s="1">
        <v>78.7</v>
      </c>
      <c r="N14" s="2">
        <v>88.3</v>
      </c>
      <c r="O14" s="13">
        <v>5</v>
      </c>
      <c r="P14" s="14">
        <v>2</v>
      </c>
      <c r="Q14" s="15">
        <v>1063.0999999999999</v>
      </c>
      <c r="R14" s="1">
        <v>80.7</v>
      </c>
      <c r="S14" s="2">
        <v>88.3</v>
      </c>
      <c r="T14" s="13">
        <v>5</v>
      </c>
      <c r="U14" s="14">
        <v>2.7</v>
      </c>
      <c r="V14" s="15">
        <v>680.8</v>
      </c>
    </row>
    <row r="15" spans="1:22" ht="31.5" x14ac:dyDescent="0.7">
      <c r="A15" s="11">
        <v>11</v>
      </c>
      <c r="B15" s="12" t="s">
        <v>43</v>
      </c>
      <c r="C15" s="1">
        <v>91.6</v>
      </c>
      <c r="D15" s="2">
        <v>97.6</v>
      </c>
      <c r="E15" s="13">
        <v>3</v>
      </c>
      <c r="F15" s="14">
        <v>0</v>
      </c>
      <c r="G15" s="15">
        <v>43.9</v>
      </c>
      <c r="H15" s="1">
        <v>91.6</v>
      </c>
      <c r="I15" s="2">
        <v>97.6</v>
      </c>
      <c r="J15" s="13">
        <v>3</v>
      </c>
      <c r="K15" s="14">
        <v>0</v>
      </c>
      <c r="L15" s="15">
        <v>29.2</v>
      </c>
      <c r="M15" s="1">
        <v>91.6</v>
      </c>
      <c r="N15" s="2">
        <v>95.1</v>
      </c>
      <c r="O15" s="13">
        <v>3</v>
      </c>
      <c r="P15" s="14">
        <v>0</v>
      </c>
      <c r="Q15" s="15">
        <v>81.7</v>
      </c>
      <c r="R15" s="1">
        <v>93.2</v>
      </c>
      <c r="S15" s="2">
        <v>95.1</v>
      </c>
      <c r="T15" s="13">
        <v>3</v>
      </c>
      <c r="U15" s="14">
        <v>0.6</v>
      </c>
      <c r="V15" s="15">
        <v>67.8</v>
      </c>
    </row>
    <row r="16" spans="1:22" ht="31.5" x14ac:dyDescent="0.7">
      <c r="A16" s="11">
        <v>12</v>
      </c>
      <c r="B16" s="12" t="s">
        <v>44</v>
      </c>
      <c r="C16" s="1">
        <v>92.9</v>
      </c>
      <c r="D16" s="2">
        <v>100.5</v>
      </c>
      <c r="E16" s="13">
        <v>2</v>
      </c>
      <c r="F16" s="14">
        <v>3</v>
      </c>
      <c r="G16" s="15">
        <v>34</v>
      </c>
      <c r="H16" s="1">
        <v>97.5</v>
      </c>
      <c r="I16" s="2">
        <v>100.5</v>
      </c>
      <c r="J16" s="13">
        <v>2</v>
      </c>
      <c r="K16" s="14">
        <v>0</v>
      </c>
      <c r="L16" s="15">
        <v>166.7</v>
      </c>
      <c r="M16" s="1">
        <v>92.7</v>
      </c>
      <c r="N16" s="2">
        <v>96.5</v>
      </c>
      <c r="O16" s="13">
        <v>3</v>
      </c>
      <c r="P16" s="14">
        <v>0</v>
      </c>
      <c r="Q16" s="15">
        <v>154.9</v>
      </c>
      <c r="R16" s="1">
        <v>92.9</v>
      </c>
      <c r="S16" s="2">
        <v>96.5</v>
      </c>
      <c r="T16" s="13">
        <v>2</v>
      </c>
      <c r="U16" s="14">
        <v>3.1</v>
      </c>
      <c r="V16" s="15">
        <v>47.9</v>
      </c>
    </row>
    <row r="17" spans="1:27" ht="31.5" x14ac:dyDescent="0.7">
      <c r="A17" s="11">
        <v>13</v>
      </c>
      <c r="B17" s="12" t="s">
        <v>45</v>
      </c>
      <c r="C17" s="1">
        <v>71.8</v>
      </c>
      <c r="D17" s="2">
        <v>89.8</v>
      </c>
      <c r="E17" s="13">
        <v>4</v>
      </c>
      <c r="F17" s="14">
        <v>4.7</v>
      </c>
      <c r="G17" s="15">
        <v>259.2</v>
      </c>
      <c r="H17" s="1">
        <v>70.7</v>
      </c>
      <c r="I17" s="2">
        <v>89.8</v>
      </c>
      <c r="J17" s="13">
        <v>3</v>
      </c>
      <c r="K17" s="14">
        <v>2.9</v>
      </c>
      <c r="L17" s="15">
        <v>221.1</v>
      </c>
      <c r="M17" s="1">
        <v>70.7</v>
      </c>
      <c r="N17" s="2">
        <v>86.8</v>
      </c>
      <c r="O17" s="13">
        <v>3</v>
      </c>
      <c r="P17" s="14">
        <v>2.9</v>
      </c>
      <c r="Q17" s="15">
        <v>222.5</v>
      </c>
      <c r="R17" s="1">
        <v>70</v>
      </c>
      <c r="S17" s="2">
        <v>86.8</v>
      </c>
      <c r="T17" s="13">
        <v>3</v>
      </c>
      <c r="U17" s="14">
        <v>5.2</v>
      </c>
      <c r="V17" s="15">
        <v>261</v>
      </c>
    </row>
    <row r="18" spans="1:27" ht="31.5" x14ac:dyDescent="0.7">
      <c r="A18" s="11">
        <v>14</v>
      </c>
      <c r="B18" s="12" t="s">
        <v>46</v>
      </c>
      <c r="C18" s="1">
        <v>86.6</v>
      </c>
      <c r="D18" s="2">
        <v>109.4</v>
      </c>
      <c r="E18" s="13">
        <v>3</v>
      </c>
      <c r="F18" s="14">
        <v>0</v>
      </c>
      <c r="G18" s="15">
        <v>16.5</v>
      </c>
      <c r="H18" s="1">
        <v>87.8</v>
      </c>
      <c r="I18" s="2">
        <v>109.4</v>
      </c>
      <c r="J18" s="13">
        <v>3</v>
      </c>
      <c r="K18" s="14">
        <v>1.1000000000000001</v>
      </c>
      <c r="L18" s="15">
        <v>61.4</v>
      </c>
      <c r="M18" s="1">
        <v>89.8</v>
      </c>
      <c r="N18" s="2">
        <v>99.6</v>
      </c>
      <c r="O18" s="13">
        <v>3</v>
      </c>
      <c r="P18" s="14">
        <v>0</v>
      </c>
      <c r="Q18" s="15">
        <v>74.8</v>
      </c>
      <c r="R18" s="1">
        <v>95</v>
      </c>
      <c r="S18" s="2">
        <v>99.6</v>
      </c>
      <c r="T18" s="13">
        <v>2</v>
      </c>
      <c r="U18" s="14">
        <v>4.5</v>
      </c>
      <c r="V18" s="15">
        <v>68.400000000000006</v>
      </c>
    </row>
    <row r="19" spans="1:27" ht="31.5" x14ac:dyDescent="0.7">
      <c r="A19" s="11">
        <v>15</v>
      </c>
      <c r="B19" s="12" t="s">
        <v>47</v>
      </c>
      <c r="C19" s="1">
        <v>77.400000000000006</v>
      </c>
      <c r="D19" s="2">
        <v>83.7</v>
      </c>
      <c r="E19" s="13">
        <v>4</v>
      </c>
      <c r="F19" s="14">
        <v>2.1</v>
      </c>
      <c r="G19" s="15">
        <v>364.1</v>
      </c>
      <c r="H19" s="1">
        <v>75.3</v>
      </c>
      <c r="I19" s="2">
        <v>83.7</v>
      </c>
      <c r="J19" s="13">
        <v>5</v>
      </c>
      <c r="K19" s="14">
        <v>1.1000000000000001</v>
      </c>
      <c r="L19" s="15">
        <v>193.4</v>
      </c>
      <c r="M19" s="1">
        <v>75.3</v>
      </c>
      <c r="N19" s="2">
        <v>81.2</v>
      </c>
      <c r="O19" s="13">
        <v>5</v>
      </c>
      <c r="P19" s="14">
        <v>1.1000000000000001</v>
      </c>
      <c r="Q19" s="15">
        <v>425.8</v>
      </c>
      <c r="R19" s="1">
        <v>76.2</v>
      </c>
      <c r="S19" s="2">
        <v>81.2</v>
      </c>
      <c r="T19" s="13">
        <v>4</v>
      </c>
      <c r="U19" s="14">
        <v>0.1</v>
      </c>
      <c r="V19" s="15">
        <v>346.3</v>
      </c>
    </row>
    <row r="20" spans="1:27" ht="31.5" x14ac:dyDescent="0.7">
      <c r="A20" s="11">
        <v>16</v>
      </c>
      <c r="B20" s="12" t="s">
        <v>48</v>
      </c>
      <c r="C20" s="1">
        <v>84.8</v>
      </c>
      <c r="D20" s="2">
        <v>100.4</v>
      </c>
      <c r="E20" s="13">
        <v>3</v>
      </c>
      <c r="F20" s="14">
        <v>0</v>
      </c>
      <c r="G20" s="15">
        <v>34</v>
      </c>
      <c r="H20" s="1">
        <v>85.2</v>
      </c>
      <c r="I20" s="2">
        <v>100.4</v>
      </c>
      <c r="J20" s="13">
        <v>3</v>
      </c>
      <c r="K20" s="14">
        <v>0.4</v>
      </c>
      <c r="L20" s="15">
        <v>36.200000000000003</v>
      </c>
      <c r="M20" s="1">
        <v>87.6</v>
      </c>
      <c r="N20" s="2">
        <v>90.2</v>
      </c>
      <c r="O20" s="13">
        <v>3</v>
      </c>
      <c r="P20" s="14">
        <v>0</v>
      </c>
      <c r="Q20" s="15">
        <v>28.8</v>
      </c>
      <c r="R20" s="1">
        <v>90</v>
      </c>
      <c r="S20" s="2">
        <v>90.2</v>
      </c>
      <c r="T20" s="13">
        <v>3</v>
      </c>
      <c r="U20" s="14">
        <v>2.4</v>
      </c>
      <c r="V20" s="15">
        <v>225.7</v>
      </c>
    </row>
    <row r="21" spans="1:27" ht="31.5" x14ac:dyDescent="0.7">
      <c r="A21" s="11">
        <v>17</v>
      </c>
      <c r="B21" s="12" t="s">
        <v>49</v>
      </c>
      <c r="C21" s="1">
        <v>78.3</v>
      </c>
      <c r="D21" s="2">
        <v>91.5</v>
      </c>
      <c r="E21" s="13">
        <v>4</v>
      </c>
      <c r="F21" s="14">
        <v>1.1000000000000001</v>
      </c>
      <c r="G21" s="15">
        <v>21</v>
      </c>
      <c r="H21" s="1">
        <v>78.3</v>
      </c>
      <c r="I21" s="2">
        <v>91.5</v>
      </c>
      <c r="J21" s="13">
        <v>4</v>
      </c>
      <c r="K21" s="14">
        <v>1.1000000000000001</v>
      </c>
      <c r="L21" s="15">
        <v>9.1999999999999993</v>
      </c>
      <c r="M21" s="1">
        <v>79.7</v>
      </c>
      <c r="N21" s="2">
        <v>85.6</v>
      </c>
      <c r="O21" s="13">
        <v>3</v>
      </c>
      <c r="P21" s="14">
        <v>1.1000000000000001</v>
      </c>
      <c r="Q21" s="15">
        <v>25</v>
      </c>
      <c r="R21" s="1">
        <v>81.2</v>
      </c>
      <c r="S21" s="2">
        <v>85.6</v>
      </c>
      <c r="T21" s="13">
        <v>2</v>
      </c>
      <c r="U21" s="14">
        <v>1.1000000000000001</v>
      </c>
      <c r="V21" s="15">
        <v>55.6</v>
      </c>
    </row>
    <row r="22" spans="1:27" ht="31.5" x14ac:dyDescent="0.7">
      <c r="A22" s="11">
        <v>18</v>
      </c>
      <c r="B22" s="12" t="s">
        <v>50</v>
      </c>
      <c r="C22" s="1">
        <v>71.400000000000006</v>
      </c>
      <c r="D22" s="2">
        <v>98.6</v>
      </c>
      <c r="E22" s="13">
        <v>4</v>
      </c>
      <c r="F22" s="14">
        <v>2.7</v>
      </c>
      <c r="G22" s="15">
        <v>96</v>
      </c>
      <c r="H22" s="1">
        <v>74.5</v>
      </c>
      <c r="I22" s="2">
        <v>98.6</v>
      </c>
      <c r="J22" s="13">
        <v>4</v>
      </c>
      <c r="K22" s="14">
        <v>6.9</v>
      </c>
      <c r="L22" s="15">
        <v>161.1</v>
      </c>
      <c r="M22" s="1">
        <v>71.3</v>
      </c>
      <c r="N22" s="2">
        <v>93.1</v>
      </c>
      <c r="O22" s="13">
        <v>4</v>
      </c>
      <c r="P22" s="14">
        <v>4.5999999999999996</v>
      </c>
      <c r="Q22" s="15">
        <v>130.80000000000001</v>
      </c>
      <c r="R22" s="1">
        <v>76.5</v>
      </c>
      <c r="S22" s="2">
        <v>93.1</v>
      </c>
      <c r="T22" s="13">
        <v>3</v>
      </c>
      <c r="U22" s="14">
        <v>2.7</v>
      </c>
      <c r="V22" s="15">
        <v>757</v>
      </c>
    </row>
    <row r="23" spans="1:27" ht="31.5" x14ac:dyDescent="0.7">
      <c r="A23" s="11">
        <v>19</v>
      </c>
      <c r="B23" s="12" t="s">
        <v>51</v>
      </c>
      <c r="C23" s="1">
        <v>87.9</v>
      </c>
      <c r="D23" s="2">
        <v>105.9</v>
      </c>
      <c r="E23" s="13">
        <v>4</v>
      </c>
      <c r="F23" s="14">
        <v>0.8</v>
      </c>
      <c r="G23" s="15">
        <v>84</v>
      </c>
      <c r="H23" s="1">
        <v>87.9</v>
      </c>
      <c r="I23" s="2">
        <v>105.9</v>
      </c>
      <c r="J23" s="13">
        <v>4</v>
      </c>
      <c r="K23" s="14">
        <v>0.8</v>
      </c>
      <c r="L23" s="15">
        <v>78.2</v>
      </c>
      <c r="M23" s="1">
        <v>87.9</v>
      </c>
      <c r="N23" s="2">
        <v>98.5</v>
      </c>
      <c r="O23" s="13">
        <v>4</v>
      </c>
      <c r="P23" s="14">
        <v>0.8</v>
      </c>
      <c r="Q23" s="15">
        <v>152.69999999999999</v>
      </c>
      <c r="R23" s="1">
        <v>92.5</v>
      </c>
      <c r="S23" s="2">
        <v>98.5</v>
      </c>
      <c r="T23" s="13">
        <v>4</v>
      </c>
      <c r="U23" s="14">
        <v>1.6</v>
      </c>
      <c r="V23" s="15">
        <v>272.10000000000002</v>
      </c>
    </row>
    <row r="24" spans="1:27" ht="31.5" x14ac:dyDescent="0.7">
      <c r="A24" s="11">
        <v>20</v>
      </c>
      <c r="B24" s="12" t="s">
        <v>52</v>
      </c>
      <c r="C24" s="1">
        <v>91.1</v>
      </c>
      <c r="D24" s="2">
        <v>97.9</v>
      </c>
      <c r="E24" s="13">
        <v>4</v>
      </c>
      <c r="F24" s="14">
        <v>0.4</v>
      </c>
      <c r="G24" s="15">
        <v>23.3</v>
      </c>
      <c r="H24" s="1">
        <v>91.1</v>
      </c>
      <c r="I24" s="2">
        <v>97.9</v>
      </c>
      <c r="J24" s="13">
        <v>4</v>
      </c>
      <c r="K24" s="14">
        <v>0.4</v>
      </c>
      <c r="L24" s="15">
        <v>16.2</v>
      </c>
      <c r="M24" s="1">
        <v>90.8</v>
      </c>
      <c r="N24" s="2">
        <v>96.1</v>
      </c>
      <c r="O24" s="13">
        <v>4</v>
      </c>
      <c r="P24" s="14">
        <v>0</v>
      </c>
      <c r="Q24" s="15">
        <v>38.5</v>
      </c>
      <c r="R24" s="1">
        <v>91.1</v>
      </c>
      <c r="S24" s="2">
        <v>96.1</v>
      </c>
      <c r="T24" s="13">
        <v>4</v>
      </c>
      <c r="U24" s="14">
        <v>0.4</v>
      </c>
      <c r="V24" s="15">
        <v>46</v>
      </c>
    </row>
    <row r="25" spans="1:27" x14ac:dyDescent="0.45">
      <c r="Y25" s="16"/>
      <c r="Z25" s="16"/>
      <c r="AA25" s="16"/>
    </row>
  </sheetData>
  <mergeCells count="10">
    <mergeCell ref="Y25:AA25"/>
    <mergeCell ref="A1:B4"/>
    <mergeCell ref="C1:L1"/>
    <mergeCell ref="M1:V1"/>
    <mergeCell ref="C2:L2"/>
    <mergeCell ref="M2:V2"/>
    <mergeCell ref="C3:G3"/>
    <mergeCell ref="H3:L3"/>
    <mergeCell ref="M3:Q3"/>
    <mergeCell ref="R3:V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1D3B-F477-4F07-BFAA-1B54772E72D7}">
  <dimension ref="A1:T41"/>
  <sheetViews>
    <sheetView workbookViewId="0">
      <selection activeCell="F18" sqref="F18"/>
    </sheetView>
  </sheetViews>
  <sheetFormatPr defaultRowHeight="14.25" x14ac:dyDescent="0.45"/>
  <cols>
    <col min="1" max="4" width="9.59765625" customWidth="1"/>
    <col min="6" max="6" width="78" bestFit="1" customWidth="1"/>
    <col min="7" max="7" width="19.59765625" customWidth="1"/>
  </cols>
  <sheetData>
    <row r="1" spans="1:7" ht="27.75" customHeight="1" x14ac:dyDescent="0.45">
      <c r="A1" s="4" t="s">
        <v>12</v>
      </c>
      <c r="B1" s="4" t="s">
        <v>13</v>
      </c>
      <c r="C1" s="4" t="s">
        <v>14</v>
      </c>
      <c r="D1" s="4" t="s">
        <v>15</v>
      </c>
    </row>
    <row r="2" spans="1:7" x14ac:dyDescent="0.45">
      <c r="A2">
        <v>90.8</v>
      </c>
      <c r="B2">
        <v>87</v>
      </c>
      <c r="C2">
        <v>78.8</v>
      </c>
      <c r="D2">
        <v>78.8</v>
      </c>
      <c r="F2" t="s">
        <v>8</v>
      </c>
      <c r="G2">
        <f>AVERAGE(A2:B41)</f>
        <v>87.43249999999999</v>
      </c>
    </row>
    <row r="3" spans="1:7" x14ac:dyDescent="0.45">
      <c r="A3">
        <v>71.8</v>
      </c>
      <c r="B3">
        <v>81.900000000000006</v>
      </c>
      <c r="C3">
        <v>69</v>
      </c>
      <c r="D3">
        <v>70.8</v>
      </c>
      <c r="F3" t="s">
        <v>9</v>
      </c>
      <c r="G3">
        <f>AVERAGE(C2:D41)</f>
        <v>81.274999999999991</v>
      </c>
    </row>
    <row r="4" spans="1:7" x14ac:dyDescent="0.45">
      <c r="A4">
        <v>85.1</v>
      </c>
      <c r="B4">
        <v>89.2</v>
      </c>
      <c r="C4">
        <v>76.2</v>
      </c>
      <c r="D4">
        <v>76.099999999999994</v>
      </c>
    </row>
    <row r="5" spans="1:7" x14ac:dyDescent="0.45">
      <c r="A5">
        <v>97.8</v>
      </c>
      <c r="B5">
        <v>99.1</v>
      </c>
      <c r="C5">
        <v>96.4</v>
      </c>
      <c r="D5">
        <v>95.8</v>
      </c>
      <c r="F5" s="27" t="s">
        <v>2</v>
      </c>
      <c r="G5" s="28">
        <f>(G2-G3)/G3</f>
        <v>7.5761304214087971E-2</v>
      </c>
    </row>
    <row r="6" spans="1:7" x14ac:dyDescent="0.45">
      <c r="A6">
        <v>76.400000000000006</v>
      </c>
      <c r="B6">
        <v>72.400000000000006</v>
      </c>
      <c r="C6">
        <v>72.3</v>
      </c>
      <c r="D6">
        <v>72.400000000000006</v>
      </c>
      <c r="F6" s="27" t="s">
        <v>3</v>
      </c>
      <c r="G6" s="27"/>
    </row>
    <row r="7" spans="1:7" x14ac:dyDescent="0.45">
      <c r="A7">
        <v>72.400000000000006</v>
      </c>
      <c r="B7">
        <v>80</v>
      </c>
      <c r="C7">
        <v>67.599999999999994</v>
      </c>
      <c r="D7">
        <v>69.599999999999994</v>
      </c>
    </row>
    <row r="8" spans="1:7" x14ac:dyDescent="0.45">
      <c r="A8">
        <v>96.8</v>
      </c>
      <c r="B8">
        <v>90.6</v>
      </c>
      <c r="C8">
        <v>80</v>
      </c>
      <c r="D8">
        <v>81.7</v>
      </c>
    </row>
    <row r="9" spans="1:7" x14ac:dyDescent="0.45">
      <c r="A9">
        <v>96.4</v>
      </c>
      <c r="B9">
        <v>94.7</v>
      </c>
      <c r="C9">
        <v>89.7</v>
      </c>
      <c r="D9">
        <v>92.8</v>
      </c>
    </row>
    <row r="10" spans="1:7" x14ac:dyDescent="0.45">
      <c r="A10">
        <v>67.099999999999994</v>
      </c>
      <c r="B10">
        <v>68.599999999999994</v>
      </c>
      <c r="C10">
        <v>64.5</v>
      </c>
      <c r="D10">
        <v>67.099999999999994</v>
      </c>
    </row>
    <row r="11" spans="1:7" x14ac:dyDescent="0.45">
      <c r="A11">
        <v>81.099999999999994</v>
      </c>
      <c r="B11">
        <v>85.8</v>
      </c>
      <c r="C11">
        <v>76.099999999999994</v>
      </c>
      <c r="D11">
        <v>78.7</v>
      </c>
    </row>
    <row r="12" spans="1:7" x14ac:dyDescent="0.45">
      <c r="A12">
        <v>91.6</v>
      </c>
      <c r="B12">
        <v>91.6</v>
      </c>
      <c r="C12">
        <v>91.6</v>
      </c>
      <c r="D12">
        <v>91.6</v>
      </c>
    </row>
    <row r="13" spans="1:7" x14ac:dyDescent="0.45">
      <c r="A13">
        <v>96.8</v>
      </c>
      <c r="B13">
        <v>92.7</v>
      </c>
      <c r="C13">
        <v>92.9</v>
      </c>
      <c r="D13">
        <v>92.7</v>
      </c>
    </row>
    <row r="14" spans="1:7" x14ac:dyDescent="0.45">
      <c r="A14">
        <v>76.599999999999994</v>
      </c>
      <c r="B14">
        <v>78.900000000000006</v>
      </c>
      <c r="C14">
        <v>71.8</v>
      </c>
      <c r="D14">
        <v>70.7</v>
      </c>
    </row>
    <row r="15" spans="1:7" x14ac:dyDescent="0.45">
      <c r="A15">
        <v>93.8</v>
      </c>
      <c r="B15">
        <v>94.1</v>
      </c>
      <c r="C15">
        <v>86.6</v>
      </c>
      <c r="D15">
        <v>89.8</v>
      </c>
    </row>
    <row r="16" spans="1:7" x14ac:dyDescent="0.45">
      <c r="A16">
        <v>81.7</v>
      </c>
      <c r="B16">
        <v>85.8</v>
      </c>
      <c r="C16">
        <v>77.400000000000006</v>
      </c>
      <c r="D16">
        <v>75.3</v>
      </c>
    </row>
    <row r="17" spans="1:12" x14ac:dyDescent="0.45">
      <c r="A17">
        <v>87.2</v>
      </c>
      <c r="B17">
        <v>94.8</v>
      </c>
      <c r="C17">
        <v>84.8</v>
      </c>
      <c r="D17">
        <v>87.6</v>
      </c>
    </row>
    <row r="18" spans="1:12" x14ac:dyDescent="0.45">
      <c r="A18">
        <v>81.400000000000006</v>
      </c>
      <c r="B18">
        <v>83.2</v>
      </c>
      <c r="C18">
        <v>78.3</v>
      </c>
      <c r="D18">
        <v>79.7</v>
      </c>
    </row>
    <row r="19" spans="1:12" x14ac:dyDescent="0.45">
      <c r="A19">
        <v>82.1</v>
      </c>
      <c r="B19">
        <v>75.7</v>
      </c>
      <c r="C19">
        <v>71.400000000000006</v>
      </c>
      <c r="D19">
        <v>71.3</v>
      </c>
    </row>
    <row r="20" spans="1:12" x14ac:dyDescent="0.45">
      <c r="A20">
        <v>87.9</v>
      </c>
      <c r="B20">
        <v>91.1</v>
      </c>
      <c r="C20">
        <v>87.9</v>
      </c>
      <c r="D20">
        <v>87.9</v>
      </c>
    </row>
    <row r="21" spans="1:12" x14ac:dyDescent="0.45">
      <c r="A21">
        <v>100.9</v>
      </c>
      <c r="B21">
        <v>103.3</v>
      </c>
      <c r="C21">
        <v>91.1</v>
      </c>
      <c r="D21">
        <v>90.8</v>
      </c>
    </row>
    <row r="22" spans="1:12" x14ac:dyDescent="0.45">
      <c r="A22">
        <v>92.3</v>
      </c>
      <c r="B22">
        <v>85.6</v>
      </c>
      <c r="C22">
        <v>84.3</v>
      </c>
      <c r="D22">
        <v>78.7</v>
      </c>
      <c r="L22" s="3"/>
    </row>
    <row r="23" spans="1:12" x14ac:dyDescent="0.45">
      <c r="A23">
        <v>83.5</v>
      </c>
      <c r="B23">
        <v>82.8</v>
      </c>
      <c r="C23">
        <v>69.599999999999994</v>
      </c>
      <c r="D23">
        <v>73.7</v>
      </c>
    </row>
    <row r="24" spans="1:12" x14ac:dyDescent="0.45">
      <c r="A24">
        <v>89.2</v>
      </c>
      <c r="B24">
        <v>84.8</v>
      </c>
      <c r="C24">
        <v>79</v>
      </c>
      <c r="D24">
        <v>76.099999999999994</v>
      </c>
    </row>
    <row r="25" spans="1:12" x14ac:dyDescent="0.45">
      <c r="A25">
        <v>98.5</v>
      </c>
      <c r="B25">
        <v>101.6</v>
      </c>
      <c r="C25">
        <v>95.8</v>
      </c>
      <c r="D25">
        <v>98.2</v>
      </c>
    </row>
    <row r="26" spans="1:12" x14ac:dyDescent="0.45">
      <c r="A26">
        <v>83</v>
      </c>
      <c r="B26">
        <v>81.7</v>
      </c>
      <c r="C26">
        <v>72.7</v>
      </c>
      <c r="D26">
        <v>73.2</v>
      </c>
    </row>
    <row r="27" spans="1:12" x14ac:dyDescent="0.45">
      <c r="A27">
        <v>74.400000000000006</v>
      </c>
      <c r="B27">
        <v>80</v>
      </c>
      <c r="C27">
        <v>69.599999999999994</v>
      </c>
      <c r="D27">
        <v>67.900000000000006</v>
      </c>
    </row>
    <row r="28" spans="1:12" x14ac:dyDescent="0.45">
      <c r="A28">
        <v>96.8</v>
      </c>
      <c r="B28">
        <v>91</v>
      </c>
      <c r="C28">
        <v>81.7</v>
      </c>
      <c r="D28">
        <v>81.900000000000006</v>
      </c>
    </row>
    <row r="29" spans="1:12" x14ac:dyDescent="0.45">
      <c r="A29">
        <v>102.4</v>
      </c>
      <c r="B29">
        <v>94.8</v>
      </c>
      <c r="C29">
        <v>92.8</v>
      </c>
      <c r="D29">
        <v>89.7</v>
      </c>
    </row>
    <row r="30" spans="1:12" x14ac:dyDescent="0.45">
      <c r="A30">
        <v>73.3</v>
      </c>
      <c r="B30">
        <v>64.5</v>
      </c>
      <c r="C30">
        <v>65.5</v>
      </c>
      <c r="D30">
        <v>65.5</v>
      </c>
    </row>
    <row r="31" spans="1:12" x14ac:dyDescent="0.45">
      <c r="A31">
        <v>93.8</v>
      </c>
      <c r="B31">
        <v>84.2</v>
      </c>
      <c r="C31">
        <v>81.3</v>
      </c>
      <c r="D31">
        <v>80.7</v>
      </c>
    </row>
    <row r="32" spans="1:12" x14ac:dyDescent="0.45">
      <c r="A32">
        <v>91.6</v>
      </c>
      <c r="B32">
        <v>93.2</v>
      </c>
      <c r="C32">
        <v>91.6</v>
      </c>
      <c r="D32">
        <v>93.2</v>
      </c>
    </row>
    <row r="33" spans="1:20" x14ac:dyDescent="0.45">
      <c r="A33">
        <v>100.6</v>
      </c>
      <c r="B33">
        <v>96.5</v>
      </c>
      <c r="C33">
        <v>97.5</v>
      </c>
      <c r="D33">
        <v>92.9</v>
      </c>
    </row>
    <row r="34" spans="1:20" x14ac:dyDescent="0.45">
      <c r="A34">
        <v>73.8</v>
      </c>
      <c r="B34">
        <v>78.900000000000006</v>
      </c>
      <c r="C34">
        <v>70.7</v>
      </c>
      <c r="D34">
        <v>70</v>
      </c>
    </row>
    <row r="35" spans="1:20" x14ac:dyDescent="0.45">
      <c r="A35">
        <v>87.8</v>
      </c>
      <c r="B35">
        <v>99.7</v>
      </c>
      <c r="C35">
        <v>87.8</v>
      </c>
      <c r="D35">
        <v>95</v>
      </c>
    </row>
    <row r="36" spans="1:20" x14ac:dyDescent="0.45">
      <c r="A36">
        <v>81.7</v>
      </c>
      <c r="B36">
        <v>85.8</v>
      </c>
      <c r="C36">
        <v>75.3</v>
      </c>
      <c r="D36">
        <v>76.2</v>
      </c>
    </row>
    <row r="37" spans="1:20" x14ac:dyDescent="0.45">
      <c r="A37">
        <v>85.2</v>
      </c>
      <c r="B37">
        <v>97.2</v>
      </c>
      <c r="C37">
        <v>85.2</v>
      </c>
      <c r="D37">
        <v>90</v>
      </c>
    </row>
    <row r="38" spans="1:20" x14ac:dyDescent="0.45">
      <c r="A38">
        <v>84.7</v>
      </c>
      <c r="B38">
        <v>90.7</v>
      </c>
      <c r="C38">
        <v>78.3</v>
      </c>
      <c r="D38">
        <v>81.2</v>
      </c>
    </row>
    <row r="39" spans="1:20" x14ac:dyDescent="0.45">
      <c r="A39">
        <v>85.1</v>
      </c>
      <c r="B39">
        <v>79.099999999999994</v>
      </c>
      <c r="C39">
        <v>74.5</v>
      </c>
      <c r="D39">
        <v>76.5</v>
      </c>
      <c r="T39">
        <v>85.1</v>
      </c>
    </row>
    <row r="40" spans="1:20" x14ac:dyDescent="0.45">
      <c r="A40">
        <v>87.9</v>
      </c>
      <c r="B40">
        <v>94.7</v>
      </c>
      <c r="C40">
        <v>87.9</v>
      </c>
      <c r="D40">
        <v>92.5</v>
      </c>
      <c r="T40">
        <v>87.9</v>
      </c>
    </row>
    <row r="41" spans="1:20" x14ac:dyDescent="0.45">
      <c r="A41">
        <v>101.2</v>
      </c>
      <c r="B41">
        <v>104.8</v>
      </c>
      <c r="C41">
        <v>91.1</v>
      </c>
      <c r="D41">
        <v>91.1</v>
      </c>
      <c r="T41">
        <v>101.2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9C27A-1568-4C9F-8178-DDB7526FD0D2}">
  <dimension ref="A1:T41"/>
  <sheetViews>
    <sheetView workbookViewId="0">
      <selection activeCell="F5" sqref="F5:F7"/>
    </sheetView>
  </sheetViews>
  <sheetFormatPr defaultRowHeight="14.25" x14ac:dyDescent="0.45"/>
  <cols>
    <col min="1" max="2" width="21.1328125" bestFit="1" customWidth="1"/>
    <col min="3" max="4" width="18.33203125" bestFit="1" customWidth="1"/>
    <col min="5" max="5" width="4" customWidth="1"/>
    <col min="6" max="6" width="78" bestFit="1" customWidth="1"/>
    <col min="7" max="7" width="19.59765625" customWidth="1"/>
  </cols>
  <sheetData>
    <row r="1" spans="1:7" x14ac:dyDescent="0.45">
      <c r="A1" t="s">
        <v>4</v>
      </c>
      <c r="B1" t="s">
        <v>5</v>
      </c>
      <c r="C1" t="s">
        <v>6</v>
      </c>
      <c r="D1" t="s">
        <v>7</v>
      </c>
    </row>
    <row r="2" spans="1:7" x14ac:dyDescent="0.45">
      <c r="A2">
        <v>4</v>
      </c>
      <c r="B2">
        <v>5</v>
      </c>
      <c r="C2">
        <v>4</v>
      </c>
      <c r="D2">
        <v>4</v>
      </c>
      <c r="F2" t="s">
        <v>8</v>
      </c>
      <c r="G2">
        <f>AVERAGE(A2:B41)</f>
        <v>3.3125</v>
      </c>
    </row>
    <row r="3" spans="1:7" x14ac:dyDescent="0.45">
      <c r="A3">
        <v>3</v>
      </c>
      <c r="B3">
        <v>5</v>
      </c>
      <c r="C3">
        <v>4</v>
      </c>
      <c r="D3">
        <v>3</v>
      </c>
      <c r="F3" t="s">
        <v>9</v>
      </c>
      <c r="G3">
        <f>AVERAGE(C2:D41)</f>
        <v>3.4624999999999999</v>
      </c>
    </row>
    <row r="4" spans="1:7" x14ac:dyDescent="0.45">
      <c r="A4">
        <v>3</v>
      </c>
      <c r="B4">
        <v>3</v>
      </c>
      <c r="C4">
        <v>4</v>
      </c>
      <c r="D4">
        <v>4</v>
      </c>
    </row>
    <row r="5" spans="1:7" x14ac:dyDescent="0.45">
      <c r="A5">
        <v>3</v>
      </c>
      <c r="B5">
        <v>4</v>
      </c>
      <c r="C5">
        <v>4</v>
      </c>
      <c r="D5">
        <v>3</v>
      </c>
      <c r="F5" s="27" t="s">
        <v>2</v>
      </c>
      <c r="G5" s="28">
        <f>(G3-G2)/G2</f>
        <v>4.5283018867924504E-2</v>
      </c>
    </row>
    <row r="6" spans="1:7" x14ac:dyDescent="0.45">
      <c r="A6">
        <v>4</v>
      </c>
      <c r="B6">
        <v>4</v>
      </c>
      <c r="C6">
        <v>3</v>
      </c>
      <c r="D6">
        <v>4</v>
      </c>
      <c r="F6" s="27" t="s">
        <v>54</v>
      </c>
      <c r="G6" s="27"/>
    </row>
    <row r="7" spans="1:7" x14ac:dyDescent="0.45">
      <c r="A7">
        <v>3</v>
      </c>
      <c r="B7">
        <v>2</v>
      </c>
      <c r="C7">
        <v>4</v>
      </c>
      <c r="D7">
        <v>3</v>
      </c>
      <c r="F7" s="27" t="s">
        <v>18</v>
      </c>
      <c r="G7" s="27"/>
    </row>
    <row r="8" spans="1:7" x14ac:dyDescent="0.45">
      <c r="A8">
        <v>4</v>
      </c>
      <c r="B8">
        <v>4</v>
      </c>
      <c r="C8">
        <v>4</v>
      </c>
      <c r="D8">
        <v>3</v>
      </c>
    </row>
    <row r="9" spans="1:7" x14ac:dyDescent="0.45">
      <c r="A9">
        <v>2</v>
      </c>
      <c r="B9">
        <v>3</v>
      </c>
      <c r="C9">
        <v>2</v>
      </c>
      <c r="D9">
        <v>2</v>
      </c>
    </row>
    <row r="10" spans="1:7" x14ac:dyDescent="0.45">
      <c r="A10">
        <v>2</v>
      </c>
      <c r="B10">
        <v>3</v>
      </c>
      <c r="C10">
        <v>4</v>
      </c>
      <c r="D10">
        <v>3</v>
      </c>
    </row>
    <row r="11" spans="1:7" x14ac:dyDescent="0.45">
      <c r="A11">
        <v>4</v>
      </c>
      <c r="B11">
        <v>5</v>
      </c>
      <c r="C11">
        <v>5</v>
      </c>
      <c r="D11">
        <v>5</v>
      </c>
    </row>
    <row r="12" spans="1:7" x14ac:dyDescent="0.45">
      <c r="A12">
        <v>3</v>
      </c>
      <c r="B12">
        <v>3</v>
      </c>
      <c r="C12">
        <v>3</v>
      </c>
      <c r="D12">
        <v>3</v>
      </c>
    </row>
    <row r="13" spans="1:7" x14ac:dyDescent="0.45">
      <c r="A13">
        <v>3</v>
      </c>
      <c r="B13">
        <v>3</v>
      </c>
      <c r="C13">
        <v>2</v>
      </c>
      <c r="D13">
        <v>3</v>
      </c>
    </row>
    <row r="14" spans="1:7" x14ac:dyDescent="0.45">
      <c r="A14">
        <v>5</v>
      </c>
      <c r="B14">
        <v>3</v>
      </c>
      <c r="C14">
        <v>4</v>
      </c>
      <c r="D14">
        <v>3</v>
      </c>
    </row>
    <row r="15" spans="1:7" x14ac:dyDescent="0.45">
      <c r="A15">
        <v>3</v>
      </c>
      <c r="B15">
        <v>3</v>
      </c>
      <c r="C15">
        <v>3</v>
      </c>
      <c r="D15">
        <v>3</v>
      </c>
    </row>
    <row r="16" spans="1:7" x14ac:dyDescent="0.45">
      <c r="A16">
        <v>4</v>
      </c>
      <c r="B16">
        <v>5</v>
      </c>
      <c r="C16">
        <v>4</v>
      </c>
      <c r="D16">
        <v>5</v>
      </c>
    </row>
    <row r="17" spans="1:12" x14ac:dyDescent="0.45">
      <c r="A17">
        <v>2</v>
      </c>
      <c r="B17">
        <v>3</v>
      </c>
      <c r="C17">
        <v>3</v>
      </c>
      <c r="D17">
        <v>3</v>
      </c>
    </row>
    <row r="18" spans="1:12" x14ac:dyDescent="0.45">
      <c r="A18">
        <v>3</v>
      </c>
      <c r="B18">
        <v>3</v>
      </c>
      <c r="C18">
        <v>4</v>
      </c>
      <c r="D18">
        <v>3</v>
      </c>
    </row>
    <row r="19" spans="1:12" x14ac:dyDescent="0.45">
      <c r="A19">
        <v>4</v>
      </c>
      <c r="B19">
        <v>4</v>
      </c>
      <c r="C19">
        <v>4</v>
      </c>
      <c r="D19">
        <v>4</v>
      </c>
    </row>
    <row r="20" spans="1:12" x14ac:dyDescent="0.45">
      <c r="A20">
        <v>4</v>
      </c>
      <c r="B20">
        <v>4</v>
      </c>
      <c r="C20">
        <v>4</v>
      </c>
      <c r="D20">
        <v>4</v>
      </c>
    </row>
    <row r="21" spans="1:12" x14ac:dyDescent="0.45">
      <c r="A21">
        <v>4</v>
      </c>
      <c r="B21">
        <v>4</v>
      </c>
      <c r="C21">
        <v>4</v>
      </c>
      <c r="D21">
        <v>4</v>
      </c>
    </row>
    <row r="22" spans="1:12" x14ac:dyDescent="0.45">
      <c r="A22">
        <v>5</v>
      </c>
      <c r="B22">
        <v>4</v>
      </c>
      <c r="C22">
        <v>4</v>
      </c>
      <c r="D22">
        <v>4</v>
      </c>
      <c r="L22" s="3"/>
    </row>
    <row r="23" spans="1:12" x14ac:dyDescent="0.45">
      <c r="A23">
        <v>3</v>
      </c>
      <c r="B23">
        <v>4</v>
      </c>
      <c r="C23">
        <v>4</v>
      </c>
      <c r="D23">
        <v>4</v>
      </c>
    </row>
    <row r="24" spans="1:12" x14ac:dyDescent="0.45">
      <c r="A24">
        <v>2</v>
      </c>
      <c r="B24">
        <v>3</v>
      </c>
      <c r="C24">
        <v>4</v>
      </c>
      <c r="D24">
        <v>4</v>
      </c>
    </row>
    <row r="25" spans="1:12" x14ac:dyDescent="0.45">
      <c r="A25">
        <v>2</v>
      </c>
      <c r="B25">
        <v>3</v>
      </c>
      <c r="C25">
        <v>3</v>
      </c>
      <c r="D25">
        <v>2</v>
      </c>
    </row>
    <row r="26" spans="1:12" x14ac:dyDescent="0.45">
      <c r="A26">
        <v>3</v>
      </c>
      <c r="B26">
        <v>3</v>
      </c>
      <c r="C26">
        <v>3</v>
      </c>
      <c r="D26">
        <v>2</v>
      </c>
    </row>
    <row r="27" spans="1:12" x14ac:dyDescent="0.45">
      <c r="A27">
        <v>2</v>
      </c>
      <c r="B27">
        <v>2</v>
      </c>
      <c r="C27">
        <v>3</v>
      </c>
      <c r="D27">
        <v>4</v>
      </c>
    </row>
    <row r="28" spans="1:12" x14ac:dyDescent="0.45">
      <c r="A28">
        <v>4</v>
      </c>
      <c r="B28">
        <v>3</v>
      </c>
      <c r="C28">
        <v>3</v>
      </c>
      <c r="D28">
        <v>4</v>
      </c>
    </row>
    <row r="29" spans="1:12" x14ac:dyDescent="0.45">
      <c r="A29">
        <v>1</v>
      </c>
      <c r="B29">
        <v>3</v>
      </c>
      <c r="C29">
        <v>2</v>
      </c>
      <c r="D29">
        <v>2</v>
      </c>
    </row>
    <row r="30" spans="1:12" x14ac:dyDescent="0.45">
      <c r="A30">
        <v>2</v>
      </c>
      <c r="B30">
        <v>4</v>
      </c>
      <c r="C30">
        <v>4</v>
      </c>
      <c r="D30">
        <v>4</v>
      </c>
    </row>
    <row r="31" spans="1:12" x14ac:dyDescent="0.45">
      <c r="A31">
        <v>3</v>
      </c>
      <c r="B31">
        <v>5</v>
      </c>
      <c r="C31">
        <v>5</v>
      </c>
      <c r="D31">
        <v>5</v>
      </c>
    </row>
    <row r="32" spans="1:12" x14ac:dyDescent="0.45">
      <c r="A32">
        <v>3</v>
      </c>
      <c r="B32">
        <v>4</v>
      </c>
      <c r="C32">
        <v>3</v>
      </c>
      <c r="D32">
        <v>3</v>
      </c>
    </row>
    <row r="33" spans="1:20" x14ac:dyDescent="0.45">
      <c r="A33">
        <v>2</v>
      </c>
      <c r="B33">
        <v>2</v>
      </c>
      <c r="C33">
        <v>2</v>
      </c>
      <c r="D33">
        <v>2</v>
      </c>
    </row>
    <row r="34" spans="1:20" x14ac:dyDescent="0.45">
      <c r="A34">
        <v>4</v>
      </c>
      <c r="B34">
        <v>3</v>
      </c>
      <c r="C34">
        <v>3</v>
      </c>
      <c r="D34">
        <v>3</v>
      </c>
    </row>
    <row r="35" spans="1:20" x14ac:dyDescent="0.45">
      <c r="A35">
        <v>3</v>
      </c>
      <c r="B35">
        <v>2</v>
      </c>
      <c r="C35">
        <v>3</v>
      </c>
      <c r="D35">
        <v>2</v>
      </c>
    </row>
    <row r="36" spans="1:20" x14ac:dyDescent="0.45">
      <c r="A36">
        <v>4</v>
      </c>
      <c r="B36">
        <v>5</v>
      </c>
      <c r="C36">
        <v>5</v>
      </c>
      <c r="D36">
        <v>4</v>
      </c>
    </row>
    <row r="37" spans="1:20" x14ac:dyDescent="0.45">
      <c r="A37">
        <v>3</v>
      </c>
      <c r="B37">
        <v>2</v>
      </c>
      <c r="C37">
        <v>3</v>
      </c>
      <c r="D37">
        <v>3</v>
      </c>
    </row>
    <row r="38" spans="1:20" x14ac:dyDescent="0.45">
      <c r="A38">
        <v>3</v>
      </c>
      <c r="B38">
        <v>2</v>
      </c>
      <c r="C38">
        <v>4</v>
      </c>
      <c r="D38">
        <v>2</v>
      </c>
    </row>
    <row r="39" spans="1:20" x14ac:dyDescent="0.45">
      <c r="A39">
        <v>4</v>
      </c>
      <c r="B39">
        <v>3</v>
      </c>
      <c r="C39">
        <v>4</v>
      </c>
      <c r="D39">
        <v>3</v>
      </c>
      <c r="T39">
        <v>85.1</v>
      </c>
    </row>
    <row r="40" spans="1:20" x14ac:dyDescent="0.45">
      <c r="A40">
        <v>4</v>
      </c>
      <c r="B40">
        <v>4</v>
      </c>
      <c r="C40">
        <v>4</v>
      </c>
      <c r="D40">
        <v>4</v>
      </c>
      <c r="T40">
        <v>87.9</v>
      </c>
    </row>
    <row r="41" spans="1:20" x14ac:dyDescent="0.45">
      <c r="A41">
        <v>3</v>
      </c>
      <c r="B41">
        <v>4</v>
      </c>
      <c r="C41">
        <v>4</v>
      </c>
      <c r="D41">
        <v>4</v>
      </c>
      <c r="T41">
        <v>101.2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54F2-172D-4925-9841-0591B37F2804}">
  <dimension ref="A1:T41"/>
  <sheetViews>
    <sheetView workbookViewId="0">
      <selection activeCell="G5" sqref="G5"/>
    </sheetView>
  </sheetViews>
  <sheetFormatPr defaultRowHeight="14.25" x14ac:dyDescent="0.45"/>
  <cols>
    <col min="1" max="2" width="23.1328125" bestFit="1" customWidth="1"/>
    <col min="3" max="4" width="17.6640625" bestFit="1" customWidth="1"/>
    <col min="6" max="6" width="78" bestFit="1" customWidth="1"/>
    <col min="7" max="7" width="11" customWidth="1"/>
  </cols>
  <sheetData>
    <row r="1" spans="1:7" x14ac:dyDescent="0.45">
      <c r="A1" t="s">
        <v>16</v>
      </c>
      <c r="B1" t="s">
        <v>17</v>
      </c>
      <c r="C1" t="s">
        <v>14</v>
      </c>
      <c r="D1" t="s">
        <v>15</v>
      </c>
    </row>
    <row r="2" spans="1:7" x14ac:dyDescent="0.45">
      <c r="A2">
        <v>115.6</v>
      </c>
      <c r="B2">
        <v>101.9</v>
      </c>
      <c r="C2">
        <v>78.8</v>
      </c>
      <c r="D2">
        <v>78.8</v>
      </c>
      <c r="F2" t="s">
        <v>19</v>
      </c>
      <c r="G2">
        <f>AVERAGE(A2:B41)</f>
        <v>97.474999999999994</v>
      </c>
    </row>
    <row r="3" spans="1:7" x14ac:dyDescent="0.45">
      <c r="A3">
        <v>89.4</v>
      </c>
      <c r="B3">
        <v>88.3</v>
      </c>
      <c r="C3">
        <v>69</v>
      </c>
      <c r="D3">
        <v>70.8</v>
      </c>
      <c r="F3" t="s">
        <v>9</v>
      </c>
      <c r="G3">
        <f>AVERAGE(C2:D41)</f>
        <v>81.274999999999991</v>
      </c>
    </row>
    <row r="4" spans="1:7" x14ac:dyDescent="0.45">
      <c r="A4">
        <v>93.9</v>
      </c>
      <c r="B4">
        <v>95.9</v>
      </c>
      <c r="C4">
        <v>76.2</v>
      </c>
      <c r="D4">
        <v>76.099999999999994</v>
      </c>
    </row>
    <row r="5" spans="1:7" x14ac:dyDescent="0.45">
      <c r="A5">
        <v>101</v>
      </c>
      <c r="B5">
        <v>101.6</v>
      </c>
      <c r="C5">
        <v>96.4</v>
      </c>
      <c r="D5">
        <v>95.8</v>
      </c>
      <c r="F5" s="27" t="s">
        <v>2</v>
      </c>
      <c r="G5" s="28">
        <f>(G2-G3)/G3</f>
        <v>0.19932328514303296</v>
      </c>
    </row>
    <row r="6" spans="1:7" x14ac:dyDescent="0.45">
      <c r="A6">
        <v>96.3</v>
      </c>
      <c r="B6">
        <v>98.5</v>
      </c>
      <c r="C6">
        <v>72.3</v>
      </c>
      <c r="D6">
        <v>72.400000000000006</v>
      </c>
      <c r="F6" s="27" t="s">
        <v>53</v>
      </c>
      <c r="G6" s="27"/>
    </row>
    <row r="7" spans="1:7" x14ac:dyDescent="0.45">
      <c r="A7">
        <v>77</v>
      </c>
      <c r="B7">
        <v>80</v>
      </c>
      <c r="C7">
        <v>67.599999999999994</v>
      </c>
      <c r="D7">
        <v>69.599999999999994</v>
      </c>
    </row>
    <row r="8" spans="1:7" x14ac:dyDescent="0.45">
      <c r="A8">
        <v>117.3</v>
      </c>
      <c r="B8">
        <v>104.4</v>
      </c>
      <c r="C8">
        <v>80</v>
      </c>
      <c r="D8">
        <v>81.7</v>
      </c>
    </row>
    <row r="9" spans="1:7" x14ac:dyDescent="0.45">
      <c r="A9">
        <v>102.4</v>
      </c>
      <c r="B9">
        <v>96.2</v>
      </c>
      <c r="C9">
        <v>89.7</v>
      </c>
      <c r="D9">
        <v>92.8</v>
      </c>
    </row>
    <row r="10" spans="1:7" x14ac:dyDescent="0.45">
      <c r="A10">
        <v>76.5</v>
      </c>
      <c r="B10">
        <v>76.400000000000006</v>
      </c>
      <c r="C10">
        <v>64.5</v>
      </c>
      <c r="D10">
        <v>67.099999999999994</v>
      </c>
    </row>
    <row r="11" spans="1:7" x14ac:dyDescent="0.45">
      <c r="A11">
        <v>97.3</v>
      </c>
      <c r="B11">
        <v>92.8</v>
      </c>
      <c r="C11">
        <v>76.099999999999994</v>
      </c>
      <c r="D11">
        <v>78.7</v>
      </c>
    </row>
    <row r="12" spans="1:7" x14ac:dyDescent="0.45">
      <c r="A12">
        <v>100.3</v>
      </c>
      <c r="B12">
        <v>118.1</v>
      </c>
      <c r="C12">
        <v>91.6</v>
      </c>
      <c r="D12">
        <v>91.6</v>
      </c>
    </row>
    <row r="13" spans="1:7" x14ac:dyDescent="0.45">
      <c r="A13">
        <v>104</v>
      </c>
      <c r="B13">
        <v>96.5</v>
      </c>
      <c r="C13">
        <v>92.9</v>
      </c>
      <c r="D13">
        <v>92.7</v>
      </c>
    </row>
    <row r="14" spans="1:7" x14ac:dyDescent="0.45">
      <c r="A14">
        <v>97.5</v>
      </c>
      <c r="B14">
        <v>87.1</v>
      </c>
      <c r="C14">
        <v>71.8</v>
      </c>
      <c r="D14">
        <v>70.7</v>
      </c>
    </row>
    <row r="15" spans="1:7" x14ac:dyDescent="0.45">
      <c r="A15">
        <v>109.4</v>
      </c>
      <c r="B15">
        <v>105.1</v>
      </c>
      <c r="C15">
        <v>86.6</v>
      </c>
      <c r="D15">
        <v>89.8</v>
      </c>
    </row>
    <row r="16" spans="1:7" x14ac:dyDescent="0.45">
      <c r="A16">
        <v>83.7</v>
      </c>
      <c r="B16">
        <v>102.3</v>
      </c>
      <c r="C16">
        <v>77.400000000000006</v>
      </c>
      <c r="D16">
        <v>75.3</v>
      </c>
    </row>
    <row r="17" spans="1:12" x14ac:dyDescent="0.45">
      <c r="A17">
        <v>100.4</v>
      </c>
      <c r="B17">
        <v>99.8</v>
      </c>
      <c r="C17">
        <v>84.8</v>
      </c>
      <c r="D17">
        <v>87.6</v>
      </c>
    </row>
    <row r="18" spans="1:12" x14ac:dyDescent="0.45">
      <c r="A18">
        <v>93.2</v>
      </c>
      <c r="B18">
        <v>90.7</v>
      </c>
      <c r="C18">
        <v>78.3</v>
      </c>
      <c r="D18">
        <v>79.7</v>
      </c>
    </row>
    <row r="19" spans="1:12" x14ac:dyDescent="0.45">
      <c r="A19">
        <v>99.7</v>
      </c>
      <c r="B19">
        <v>87.5</v>
      </c>
      <c r="C19">
        <v>71.400000000000006</v>
      </c>
      <c r="D19">
        <v>71.3</v>
      </c>
    </row>
    <row r="20" spans="1:12" x14ac:dyDescent="0.45">
      <c r="A20">
        <v>92.1</v>
      </c>
      <c r="B20">
        <v>109.2</v>
      </c>
      <c r="C20">
        <v>87.9</v>
      </c>
      <c r="D20">
        <v>87.9</v>
      </c>
    </row>
    <row r="21" spans="1:12" x14ac:dyDescent="0.45">
      <c r="A21">
        <v>111.6</v>
      </c>
      <c r="B21">
        <v>108.3</v>
      </c>
      <c r="C21">
        <v>91.1</v>
      </c>
      <c r="D21">
        <v>90.8</v>
      </c>
    </row>
    <row r="22" spans="1:12" x14ac:dyDescent="0.45">
      <c r="A22">
        <v>115.6</v>
      </c>
      <c r="B22">
        <v>101.9</v>
      </c>
      <c r="C22">
        <v>84.3</v>
      </c>
      <c r="D22">
        <v>78.7</v>
      </c>
      <c r="L22" s="3"/>
    </row>
    <row r="23" spans="1:12" x14ac:dyDescent="0.45">
      <c r="A23">
        <v>89.4</v>
      </c>
      <c r="B23">
        <v>88.3</v>
      </c>
      <c r="C23">
        <v>69.599999999999994</v>
      </c>
      <c r="D23">
        <v>73.7</v>
      </c>
    </row>
    <row r="24" spans="1:12" x14ac:dyDescent="0.45">
      <c r="A24">
        <v>93.9</v>
      </c>
      <c r="B24">
        <v>95.9</v>
      </c>
      <c r="C24">
        <v>79</v>
      </c>
      <c r="D24">
        <v>76.099999999999994</v>
      </c>
    </row>
    <row r="25" spans="1:12" x14ac:dyDescent="0.45">
      <c r="A25">
        <v>101</v>
      </c>
      <c r="B25">
        <v>101.6</v>
      </c>
      <c r="C25">
        <v>95.8</v>
      </c>
      <c r="D25">
        <v>98.2</v>
      </c>
    </row>
    <row r="26" spans="1:12" x14ac:dyDescent="0.45">
      <c r="A26">
        <v>96.3</v>
      </c>
      <c r="B26">
        <v>98.5</v>
      </c>
      <c r="C26">
        <v>72.7</v>
      </c>
      <c r="D26">
        <v>73.2</v>
      </c>
    </row>
    <row r="27" spans="1:12" x14ac:dyDescent="0.45">
      <c r="A27">
        <v>77</v>
      </c>
      <c r="B27">
        <v>80</v>
      </c>
      <c r="C27">
        <v>69.599999999999994</v>
      </c>
      <c r="D27">
        <v>67.900000000000006</v>
      </c>
    </row>
    <row r="28" spans="1:12" x14ac:dyDescent="0.45">
      <c r="A28">
        <v>117.3</v>
      </c>
      <c r="B28">
        <v>104.4</v>
      </c>
      <c r="C28">
        <v>81.7</v>
      </c>
      <c r="D28">
        <v>81.900000000000006</v>
      </c>
    </row>
    <row r="29" spans="1:12" x14ac:dyDescent="0.45">
      <c r="A29">
        <v>102.4</v>
      </c>
      <c r="B29">
        <v>96.2</v>
      </c>
      <c r="C29">
        <v>92.8</v>
      </c>
      <c r="D29">
        <v>89.7</v>
      </c>
    </row>
    <row r="30" spans="1:12" x14ac:dyDescent="0.45">
      <c r="A30">
        <v>76.5</v>
      </c>
      <c r="B30">
        <v>76.400000000000006</v>
      </c>
      <c r="C30">
        <v>65.5</v>
      </c>
      <c r="D30">
        <v>65.5</v>
      </c>
    </row>
    <row r="31" spans="1:12" x14ac:dyDescent="0.45">
      <c r="A31">
        <v>97.3</v>
      </c>
      <c r="B31">
        <v>92.4</v>
      </c>
      <c r="C31">
        <v>81.3</v>
      </c>
      <c r="D31">
        <v>80.7</v>
      </c>
    </row>
    <row r="32" spans="1:12" x14ac:dyDescent="0.45">
      <c r="A32">
        <v>100.3</v>
      </c>
      <c r="B32">
        <v>118.1</v>
      </c>
      <c r="C32">
        <v>91.6</v>
      </c>
      <c r="D32">
        <v>93.2</v>
      </c>
    </row>
    <row r="33" spans="1:20" x14ac:dyDescent="0.45">
      <c r="A33">
        <v>104</v>
      </c>
      <c r="B33">
        <v>96.5</v>
      </c>
      <c r="C33">
        <v>97.5</v>
      </c>
      <c r="D33">
        <v>92.9</v>
      </c>
    </row>
    <row r="34" spans="1:20" x14ac:dyDescent="0.45">
      <c r="A34">
        <v>97.5</v>
      </c>
      <c r="B34">
        <v>87.1</v>
      </c>
      <c r="C34">
        <v>70.7</v>
      </c>
      <c r="D34">
        <v>70</v>
      </c>
    </row>
    <row r="35" spans="1:20" x14ac:dyDescent="0.45">
      <c r="A35">
        <v>109.4</v>
      </c>
      <c r="B35">
        <v>105.1</v>
      </c>
      <c r="C35">
        <v>87.8</v>
      </c>
      <c r="D35">
        <v>95</v>
      </c>
    </row>
    <row r="36" spans="1:20" x14ac:dyDescent="0.45">
      <c r="A36">
        <v>83.7</v>
      </c>
      <c r="B36">
        <v>102.3</v>
      </c>
      <c r="C36">
        <v>75.3</v>
      </c>
      <c r="D36">
        <v>76.2</v>
      </c>
    </row>
    <row r="37" spans="1:20" x14ac:dyDescent="0.45">
      <c r="A37">
        <v>100.4</v>
      </c>
      <c r="B37">
        <v>99.8</v>
      </c>
      <c r="C37">
        <v>85.2</v>
      </c>
      <c r="D37">
        <v>90</v>
      </c>
    </row>
    <row r="38" spans="1:20" x14ac:dyDescent="0.45">
      <c r="A38">
        <v>93.2</v>
      </c>
      <c r="B38">
        <v>90.7</v>
      </c>
      <c r="C38">
        <v>78.3</v>
      </c>
      <c r="D38">
        <v>81.2</v>
      </c>
    </row>
    <row r="39" spans="1:20" x14ac:dyDescent="0.45">
      <c r="A39">
        <v>99.7</v>
      </c>
      <c r="B39">
        <v>87.5</v>
      </c>
      <c r="C39">
        <v>74.5</v>
      </c>
      <c r="D39">
        <v>76.5</v>
      </c>
      <c r="T39">
        <v>85.1</v>
      </c>
    </row>
    <row r="40" spans="1:20" x14ac:dyDescent="0.45">
      <c r="A40">
        <v>92.1</v>
      </c>
      <c r="B40">
        <v>109.2</v>
      </c>
      <c r="C40">
        <v>87.9</v>
      </c>
      <c r="D40">
        <v>92.5</v>
      </c>
      <c r="T40">
        <v>87.9</v>
      </c>
    </row>
    <row r="41" spans="1:20" x14ac:dyDescent="0.45">
      <c r="A41">
        <v>111.6</v>
      </c>
      <c r="B41">
        <v>108.3</v>
      </c>
      <c r="C41">
        <v>91.1</v>
      </c>
      <c r="D41">
        <v>91.1</v>
      </c>
      <c r="T41">
        <v>101.2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8C37-FA8A-4C64-A9BA-F6F4888310CB}">
  <dimension ref="A1:M41"/>
  <sheetViews>
    <sheetView tabSelected="1" workbookViewId="0">
      <selection activeCell="G22" sqref="G22"/>
    </sheetView>
  </sheetViews>
  <sheetFormatPr defaultRowHeight="14.25" x14ac:dyDescent="0.45"/>
  <cols>
    <col min="2" max="3" width="10.265625" bestFit="1" customWidth="1"/>
    <col min="7" max="7" width="78" bestFit="1" customWidth="1"/>
    <col min="8" max="8" width="19.59765625" customWidth="1"/>
  </cols>
  <sheetData>
    <row r="1" spans="1:8" x14ac:dyDescent="0.45">
      <c r="B1" t="s">
        <v>10</v>
      </c>
      <c r="C1" t="s">
        <v>11</v>
      </c>
      <c r="D1" t="s">
        <v>6</v>
      </c>
      <c r="E1" t="s">
        <v>7</v>
      </c>
    </row>
    <row r="2" spans="1:8" x14ac:dyDescent="0.45">
      <c r="A2" t="s">
        <v>0</v>
      </c>
      <c r="B2">
        <v>1</v>
      </c>
      <c r="C2">
        <v>2</v>
      </c>
      <c r="D2">
        <v>4</v>
      </c>
      <c r="E2">
        <v>4</v>
      </c>
      <c r="G2" t="s">
        <v>19</v>
      </c>
      <c r="H2">
        <f>AVERAGE(B2:C41)</f>
        <v>1.425</v>
      </c>
    </row>
    <row r="3" spans="1:8" x14ac:dyDescent="0.45">
      <c r="A3">
        <v>10</v>
      </c>
      <c r="B3">
        <v>1</v>
      </c>
      <c r="C3">
        <v>2</v>
      </c>
      <c r="D3">
        <v>4</v>
      </c>
      <c r="E3">
        <v>3</v>
      </c>
      <c r="G3" t="s">
        <v>9</v>
      </c>
      <c r="H3">
        <f>AVERAGE(D2:E41)</f>
        <v>3.4624999999999999</v>
      </c>
    </row>
    <row r="4" spans="1:8" x14ac:dyDescent="0.45">
      <c r="B4">
        <v>1</v>
      </c>
      <c r="C4">
        <v>1</v>
      </c>
      <c r="D4">
        <v>4</v>
      </c>
      <c r="E4">
        <v>4</v>
      </c>
    </row>
    <row r="5" spans="1:8" x14ac:dyDescent="0.45">
      <c r="B5">
        <v>1</v>
      </c>
      <c r="C5">
        <v>3</v>
      </c>
      <c r="D5">
        <v>4</v>
      </c>
      <c r="E5">
        <v>3</v>
      </c>
      <c r="G5" s="27" t="s">
        <v>2</v>
      </c>
      <c r="H5" s="28">
        <f>(H3-H2)/H2</f>
        <v>1.4298245614035086</v>
      </c>
    </row>
    <row r="6" spans="1:8" x14ac:dyDescent="0.45">
      <c r="B6">
        <v>1</v>
      </c>
      <c r="C6">
        <v>2</v>
      </c>
      <c r="D6">
        <v>3</v>
      </c>
      <c r="E6">
        <v>4</v>
      </c>
      <c r="G6" s="27" t="s">
        <v>55</v>
      </c>
    </row>
    <row r="7" spans="1:8" x14ac:dyDescent="0.45">
      <c r="B7">
        <v>1</v>
      </c>
      <c r="C7">
        <v>2</v>
      </c>
      <c r="D7">
        <v>4</v>
      </c>
      <c r="E7">
        <v>3</v>
      </c>
      <c r="G7" s="27" t="s">
        <v>18</v>
      </c>
    </row>
    <row r="8" spans="1:8" x14ac:dyDescent="0.45">
      <c r="B8">
        <v>2</v>
      </c>
      <c r="C8">
        <v>2</v>
      </c>
      <c r="D8">
        <v>4</v>
      </c>
      <c r="E8">
        <v>3</v>
      </c>
    </row>
    <row r="9" spans="1:8" x14ac:dyDescent="0.45">
      <c r="B9">
        <v>1</v>
      </c>
      <c r="C9">
        <v>2</v>
      </c>
      <c r="D9">
        <v>2</v>
      </c>
      <c r="E9">
        <v>2</v>
      </c>
    </row>
    <row r="10" spans="1:8" x14ac:dyDescent="0.45">
      <c r="B10">
        <v>1</v>
      </c>
      <c r="C10">
        <v>2</v>
      </c>
      <c r="D10">
        <v>4</v>
      </c>
      <c r="E10">
        <v>3</v>
      </c>
    </row>
    <row r="11" spans="1:8" x14ac:dyDescent="0.45">
      <c r="B11">
        <v>1</v>
      </c>
      <c r="C11">
        <v>3</v>
      </c>
      <c r="D11">
        <v>5</v>
      </c>
      <c r="E11">
        <v>5</v>
      </c>
    </row>
    <row r="12" spans="1:8" x14ac:dyDescent="0.45">
      <c r="A12" t="s">
        <v>1</v>
      </c>
      <c r="B12">
        <v>1</v>
      </c>
      <c r="C12">
        <v>1</v>
      </c>
      <c r="D12">
        <v>3</v>
      </c>
      <c r="E12">
        <v>3</v>
      </c>
    </row>
    <row r="13" spans="1:8" x14ac:dyDescent="0.45">
      <c r="A13">
        <v>10</v>
      </c>
      <c r="B13">
        <v>1</v>
      </c>
      <c r="C13">
        <v>2</v>
      </c>
      <c r="D13">
        <v>2</v>
      </c>
      <c r="E13">
        <v>3</v>
      </c>
    </row>
    <row r="14" spans="1:8" x14ac:dyDescent="0.45">
      <c r="B14">
        <v>1</v>
      </c>
      <c r="C14">
        <v>2</v>
      </c>
      <c r="D14">
        <v>4</v>
      </c>
      <c r="E14">
        <v>3</v>
      </c>
    </row>
    <row r="15" spans="1:8" x14ac:dyDescent="0.45">
      <c r="B15">
        <v>0</v>
      </c>
      <c r="C15">
        <v>1</v>
      </c>
      <c r="D15">
        <v>3</v>
      </c>
      <c r="E15">
        <v>3</v>
      </c>
    </row>
    <row r="16" spans="1:8" x14ac:dyDescent="0.45">
      <c r="B16">
        <v>1</v>
      </c>
      <c r="C16">
        <v>3</v>
      </c>
      <c r="D16">
        <v>4</v>
      </c>
      <c r="E16">
        <v>5</v>
      </c>
    </row>
    <row r="17" spans="1:13" x14ac:dyDescent="0.45">
      <c r="B17">
        <v>0</v>
      </c>
      <c r="C17">
        <v>1</v>
      </c>
      <c r="D17">
        <v>3</v>
      </c>
      <c r="E17">
        <v>3</v>
      </c>
    </row>
    <row r="18" spans="1:13" x14ac:dyDescent="0.45">
      <c r="B18">
        <v>1</v>
      </c>
      <c r="C18">
        <v>2</v>
      </c>
      <c r="D18">
        <v>4</v>
      </c>
      <c r="E18">
        <v>3</v>
      </c>
    </row>
    <row r="19" spans="1:13" x14ac:dyDescent="0.45">
      <c r="B19">
        <v>1</v>
      </c>
      <c r="C19">
        <v>2</v>
      </c>
      <c r="D19">
        <v>4</v>
      </c>
      <c r="E19">
        <v>4</v>
      </c>
    </row>
    <row r="20" spans="1:13" x14ac:dyDescent="0.45">
      <c r="B20">
        <v>1</v>
      </c>
      <c r="C20">
        <v>1</v>
      </c>
      <c r="D20">
        <v>4</v>
      </c>
      <c r="E20">
        <v>4</v>
      </c>
    </row>
    <row r="21" spans="1:13" x14ac:dyDescent="0.45">
      <c r="B21">
        <v>1</v>
      </c>
      <c r="C21">
        <v>2</v>
      </c>
      <c r="D21">
        <v>4</v>
      </c>
      <c r="E21">
        <v>4</v>
      </c>
    </row>
    <row r="22" spans="1:13" x14ac:dyDescent="0.45">
      <c r="A22" t="s">
        <v>0</v>
      </c>
      <c r="B22">
        <v>1</v>
      </c>
      <c r="C22">
        <v>2</v>
      </c>
      <c r="D22">
        <v>4</v>
      </c>
      <c r="E22">
        <v>4</v>
      </c>
      <c r="M22" s="3"/>
    </row>
    <row r="23" spans="1:13" x14ac:dyDescent="0.45">
      <c r="A23">
        <v>12</v>
      </c>
      <c r="B23">
        <v>1</v>
      </c>
      <c r="C23">
        <v>2</v>
      </c>
      <c r="D23">
        <v>4</v>
      </c>
      <c r="E23">
        <v>4</v>
      </c>
    </row>
    <row r="24" spans="1:13" x14ac:dyDescent="0.45">
      <c r="B24">
        <v>1</v>
      </c>
      <c r="C24">
        <v>1</v>
      </c>
      <c r="D24">
        <v>4</v>
      </c>
      <c r="E24">
        <v>4</v>
      </c>
    </row>
    <row r="25" spans="1:13" x14ac:dyDescent="0.45">
      <c r="B25">
        <v>1</v>
      </c>
      <c r="C25">
        <v>3</v>
      </c>
      <c r="D25">
        <v>3</v>
      </c>
      <c r="E25">
        <v>2</v>
      </c>
    </row>
    <row r="26" spans="1:13" x14ac:dyDescent="0.45">
      <c r="B26">
        <v>1</v>
      </c>
      <c r="C26">
        <v>2</v>
      </c>
      <c r="D26">
        <v>3</v>
      </c>
      <c r="E26">
        <v>2</v>
      </c>
    </row>
    <row r="27" spans="1:13" x14ac:dyDescent="0.45">
      <c r="B27">
        <v>1</v>
      </c>
      <c r="C27">
        <v>2</v>
      </c>
      <c r="D27">
        <v>3</v>
      </c>
      <c r="E27">
        <v>4</v>
      </c>
    </row>
    <row r="28" spans="1:13" x14ac:dyDescent="0.45">
      <c r="B28">
        <v>2</v>
      </c>
      <c r="C28">
        <v>2</v>
      </c>
      <c r="D28">
        <v>3</v>
      </c>
      <c r="E28">
        <v>4</v>
      </c>
    </row>
    <row r="29" spans="1:13" x14ac:dyDescent="0.45">
      <c r="B29">
        <v>1</v>
      </c>
      <c r="C29">
        <v>2</v>
      </c>
      <c r="D29">
        <v>2</v>
      </c>
      <c r="E29">
        <v>2</v>
      </c>
    </row>
    <row r="30" spans="1:13" x14ac:dyDescent="0.45">
      <c r="B30">
        <v>1</v>
      </c>
      <c r="C30">
        <v>2</v>
      </c>
      <c r="D30">
        <v>4</v>
      </c>
      <c r="E30">
        <v>4</v>
      </c>
    </row>
    <row r="31" spans="1:13" x14ac:dyDescent="0.45">
      <c r="B31">
        <v>1</v>
      </c>
      <c r="C31">
        <v>3</v>
      </c>
      <c r="D31">
        <v>5</v>
      </c>
      <c r="E31">
        <v>5</v>
      </c>
    </row>
    <row r="32" spans="1:13" x14ac:dyDescent="0.45">
      <c r="A32" t="s">
        <v>1</v>
      </c>
      <c r="B32">
        <v>1</v>
      </c>
      <c r="C32">
        <v>1</v>
      </c>
      <c r="D32">
        <v>3</v>
      </c>
      <c r="E32">
        <v>3</v>
      </c>
    </row>
    <row r="33" spans="1:5" x14ac:dyDescent="0.45">
      <c r="A33">
        <v>12</v>
      </c>
      <c r="B33">
        <v>1</v>
      </c>
      <c r="C33">
        <v>2</v>
      </c>
      <c r="D33">
        <v>2</v>
      </c>
      <c r="E33">
        <v>2</v>
      </c>
    </row>
    <row r="34" spans="1:5" x14ac:dyDescent="0.45">
      <c r="B34">
        <v>1</v>
      </c>
      <c r="C34">
        <v>2</v>
      </c>
      <c r="D34">
        <v>3</v>
      </c>
      <c r="E34">
        <v>3</v>
      </c>
    </row>
    <row r="35" spans="1:5" x14ac:dyDescent="0.45">
      <c r="B35">
        <v>0</v>
      </c>
      <c r="C35">
        <v>1</v>
      </c>
      <c r="D35">
        <v>3</v>
      </c>
      <c r="E35">
        <v>2</v>
      </c>
    </row>
    <row r="36" spans="1:5" x14ac:dyDescent="0.45">
      <c r="B36">
        <v>1</v>
      </c>
      <c r="C36">
        <v>3</v>
      </c>
      <c r="D36">
        <v>5</v>
      </c>
      <c r="E36">
        <v>4</v>
      </c>
    </row>
    <row r="37" spans="1:5" x14ac:dyDescent="0.45">
      <c r="B37">
        <v>0</v>
      </c>
      <c r="C37">
        <v>1</v>
      </c>
      <c r="D37">
        <v>3</v>
      </c>
      <c r="E37">
        <v>3</v>
      </c>
    </row>
    <row r="38" spans="1:5" x14ac:dyDescent="0.45">
      <c r="B38">
        <v>1</v>
      </c>
      <c r="C38">
        <v>2</v>
      </c>
      <c r="D38">
        <v>4</v>
      </c>
      <c r="E38">
        <v>2</v>
      </c>
    </row>
    <row r="39" spans="1:5" x14ac:dyDescent="0.45">
      <c r="B39">
        <v>1</v>
      </c>
      <c r="C39">
        <v>2</v>
      </c>
      <c r="D39">
        <v>4</v>
      </c>
      <c r="E39">
        <v>3</v>
      </c>
    </row>
    <row r="40" spans="1:5" x14ac:dyDescent="0.45">
      <c r="B40">
        <v>1</v>
      </c>
      <c r="C40">
        <v>1</v>
      </c>
      <c r="D40">
        <v>4</v>
      </c>
      <c r="E40">
        <v>4</v>
      </c>
    </row>
    <row r="41" spans="1:5" x14ac:dyDescent="0.45">
      <c r="B41">
        <v>1</v>
      </c>
      <c r="C41">
        <v>2</v>
      </c>
      <c r="D41">
        <v>4</v>
      </c>
      <c r="E4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12custPerfectResults</vt:lpstr>
      <vt:lpstr>NOPERRECvsPERREC(makespan)</vt:lpstr>
      <vt:lpstr>NOPERRECvsPERREC(drone)</vt:lpstr>
      <vt:lpstr>NOPERNORECvsPERREC(makespan)</vt:lpstr>
      <vt:lpstr>NOPERNORECvsPERREC(drone)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Mehmet Kurt</dc:creator>
  <cp:lastModifiedBy>Mehmet Kurt</cp:lastModifiedBy>
  <dcterms:created xsi:type="dcterms:W3CDTF">2023-12-03T17:33:02Z</dcterms:created>
  <dcterms:modified xsi:type="dcterms:W3CDTF">2026-10-25T15:29:43Z</dcterms:modified>
</cp:coreProperties>
</file>